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hase Tracker" sheetId="2" state="visible" r:id="rId2"/>
    <sheet name="Mark Recovery Plan" sheetId="3" state="visible" r:id="rId3"/>
    <sheet name="Sprint Planner" sheetId="4" state="visible" r:id="rId4"/>
    <sheet name="Bugs Regis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1a237e"/>
      <sz val="10"/>
    </font>
    <font>
      <name val="Arial"/>
      <b val="1"/>
      <color rgb="00555555"/>
      <sz val="9"/>
    </font>
    <font>
      <name val="Arial"/>
      <b val="1"/>
      <color rgb="001a237e"/>
      <sz val="18"/>
    </font>
    <font>
      <name val="Arial"/>
      <b val="1"/>
      <color rgb="001a237e"/>
      <sz val="9"/>
    </font>
    <font>
      <name val="Arial"/>
      <color rgb="001565c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color rgb="001a237e"/>
      <sz val="14"/>
    </font>
    <font>
      <name val="Arial"/>
      <b val="1"/>
      <color rgb="00FFFFFF"/>
      <sz val="12"/>
    </font>
    <font>
      <name val="Arial"/>
      <b val="1"/>
      <color rgb="00b71c1c"/>
      <sz val="10"/>
    </font>
    <font>
      <name val="Arial"/>
      <b val="1"/>
      <color rgb="001b5e20"/>
      <sz val="12"/>
    </font>
    <font>
      <name val="Arial"/>
      <b val="1"/>
      <color rgb="00000000"/>
      <sz val="9"/>
    </font>
    <font>
      <name val="Arial"/>
      <b val="1"/>
      <color rgb="001a237e"/>
      <sz val="16"/>
    </font>
    <font>
      <name val="Arial"/>
      <b val="1"/>
      <color rgb="001b5e20"/>
      <sz val="16"/>
    </font>
    <font>
      <name val="Arial"/>
      <b val="1"/>
      <color rgb="00FFFFFF"/>
      <sz val="14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e0e0e0"/>
      </patternFill>
    </fill>
    <fill>
      <patternFill patternType="solid">
        <fgColor rgb="00fafafa"/>
      </patternFill>
    </fill>
    <fill>
      <patternFill patternType="solid">
        <fgColor rgb="00f44336"/>
      </patternFill>
    </fill>
    <fill>
      <patternFill patternType="solid">
        <fgColor rgb="00ff9800"/>
      </patternFill>
    </fill>
    <fill>
      <patternFill patternType="solid">
        <fgColor rgb="00FAFAFA"/>
      </patternFill>
    </fill>
    <fill>
      <patternFill patternType="solid">
        <fgColor rgb="002196f3"/>
      </patternFill>
    </fill>
    <fill>
      <patternFill patternType="solid">
        <fgColor rgb="009e9e9e"/>
      </patternFill>
    </fill>
    <fill>
      <patternFill patternType="solid">
        <fgColor rgb="00fff9c4"/>
      </patternFill>
    </fill>
    <fill>
      <patternFill patternType="solid">
        <fgColor rgb="00fff8f8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5f5f5"/>
      </patternFill>
    </fill>
    <fill>
      <patternFill patternType="solid">
        <fgColor rgb="00b71c1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9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164" fontId="6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left" vertical="center" wrapText="1"/>
    </xf>
    <xf numFmtId="0" fontId="17" fillId="21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17" fillId="22" borderId="1" applyAlignment="1" pivotButton="0" quotePrefix="0" xfId="0">
      <alignment horizontal="center" vertical="center" wrapText="1"/>
    </xf>
    <xf numFmtId="0" fontId="14" fillId="2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left" vertical="center" wrapText="1"/>
    </xf>
    <xf numFmtId="0" fontId="17" fillId="23" borderId="1" applyAlignment="1" pivotButton="0" quotePrefix="0" xfId="0">
      <alignment horizontal="center" vertical="center" wrapText="1"/>
    </xf>
    <xf numFmtId="0" fontId="18" fillId="2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1" fillId="25" borderId="2" applyAlignment="1" pivotButton="0" quotePrefix="0" xfId="0">
      <alignment horizontal="center" vertical="center" wrapText="1"/>
    </xf>
    <xf numFmtId="0" fontId="21" fillId="2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55" customWidth="1" min="3" max="3"/>
    <col width="32" customWidth="1" min="4" max="4"/>
    <col width="10" customWidth="1" min="5" max="5"/>
    <col width="12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36" customHeight="1">
      <c r="A1" s="1" t="inlineStr">
        <is>
          <t>FYP IMPLEMENTATION TRACKER  —  Bookability Prediction System</t>
        </is>
      </c>
    </row>
    <row r="2" ht="8" customHeight="1"/>
    <row r="3" ht="22" customHeight="1">
      <c r="A3" s="2" t="inlineStr">
        <is>
          <t>Real-Time Bookability Prediction Using Calibrated Multi-Class ML  |  Target: 80+ / 100</t>
        </is>
      </c>
    </row>
    <row r="4" ht="14" customHeight="1">
      <c r="A4" s="3" t="inlineStr">
        <is>
          <t>KEY METRICS</t>
        </is>
      </c>
    </row>
    <row r="5" ht="18" customHeight="1">
      <c r="A5" s="4" t="inlineStr">
        <is>
          <t>Current Mark</t>
        </is>
      </c>
      <c r="C5" s="5" t="inlineStr">
        <is>
          <t>Target Mark</t>
        </is>
      </c>
      <c r="E5" s="6" t="inlineStr">
        <is>
          <t>Marks Gap</t>
        </is>
      </c>
      <c r="G5" s="7" t="inlineStr">
        <is>
          <t>Marks Recovered</t>
        </is>
      </c>
      <c r="I5" s="8" t="inlineStr">
        <is>
          <t>Projected Mark</t>
        </is>
      </c>
    </row>
    <row r="6" ht="32" customHeight="1">
      <c r="A6" s="9" t="n">
        <v>26</v>
      </c>
      <c r="C6" s="10" t="n">
        <v>80</v>
      </c>
      <c r="E6" s="11">
        <f>B8-B7</f>
        <v/>
      </c>
      <c r="G6" s="12">
        <f>SUM('Phase Tracker'!J2:J200)</f>
        <v/>
      </c>
      <c r="I6" s="13">
        <f>B7+B10</f>
        <v/>
      </c>
    </row>
    <row r="8" ht="18" customHeight="1">
      <c r="A8" s="14" t="inlineStr">
        <is>
          <t>Total Tasks</t>
        </is>
      </c>
      <c r="C8" s="5" t="inlineStr">
        <is>
          <t>Done</t>
        </is>
      </c>
      <c r="E8" s="14" t="inlineStr">
        <is>
          <t>% Complete</t>
        </is>
      </c>
    </row>
    <row r="9" ht="32" customHeight="1">
      <c r="A9" s="15">
        <f>COUNTA('Phase Tracker'!C2:C200)-COUNTIF('Phase Tracker'!C2:C200,"")</f>
        <v/>
      </c>
      <c r="C9" s="10">
        <f>COUNTIF('Phase Tracker'!I2:I200,"Done")</f>
        <v/>
      </c>
      <c r="E9" s="16">
        <f>IF(B12=0,0,B13/B12)</f>
        <v/>
      </c>
    </row>
    <row r="10" ht="10" customHeight="1"/>
    <row r="11" ht="16" customHeight="1">
      <c r="A11" s="17" t="inlineStr">
        <is>
          <t>PROGRESS  (each filled cell ≈ 4 marks  |  🔵 Done  ⬜ Remaining)</t>
        </is>
      </c>
    </row>
    <row r="12" ht="22" customHeight="1">
      <c r="A12" s="18" t="inlineStr">
        <is>
          <t>█</t>
        </is>
      </c>
      <c r="B12" s="18" t="inlineStr">
        <is>
          <t>█</t>
        </is>
      </c>
      <c r="C12" s="18" t="inlineStr">
        <is>
          <t>█</t>
        </is>
      </c>
      <c r="D12" s="18" t="inlineStr">
        <is>
          <t>█</t>
        </is>
      </c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</row>
    <row r="13" ht="12" customHeight="1"/>
    <row r="14" ht="22" customHeight="1">
      <c r="A14" s="20" t="inlineStr">
        <is>
          <t>🎯  PRIORITY ACTION BOARD  —  Highest-Impact Tasks (ordered by marks recovery)</t>
        </is>
      </c>
    </row>
    <row r="15" ht="28" customHeight="1">
      <c r="A15" s="21" t="inlineStr">
        <is>
          <t>#</t>
        </is>
      </c>
      <c r="B15" s="21" t="inlineStr">
        <is>
          <t>Task ID</t>
        </is>
      </c>
      <c r="C15" s="21" t="inlineStr">
        <is>
          <t>Description</t>
        </is>
      </c>
      <c r="D15" s="21" t="inlineStr">
        <is>
          <t>File</t>
        </is>
      </c>
      <c r="E15" s="21" t="inlineStr">
        <is>
          <t>Marks
Recovered</t>
        </is>
      </c>
      <c r="F15" s="21" t="inlineStr">
        <is>
          <t>Priority</t>
        </is>
      </c>
      <c r="G15" s="21" t="inlineStr">
        <is>
          <t>Status</t>
        </is>
      </c>
    </row>
    <row r="16" ht="16" customHeight="1">
      <c r="A16" s="22" t="n">
        <v>1</v>
      </c>
      <c r="B16" s="22" t="inlineStr">
        <is>
          <t>P4-2</t>
        </is>
      </c>
      <c r="C16" s="22" t="inlineStr">
        <is>
          <t>Implement Temperature Scaling (calibrate.py)</t>
        </is>
      </c>
      <c r="D16" s="22" t="inlineStr">
        <is>
          <t>calibrate.py (new)</t>
        </is>
      </c>
      <c r="E16" s="22" t="inlineStr">
        <is>
          <t>+12</t>
        </is>
      </c>
      <c r="F16" s="23" t="inlineStr">
        <is>
          <t>CRITICAL</t>
        </is>
      </c>
      <c r="G16" s="22" t="inlineStr">
        <is>
          <t>Not Started</t>
        </is>
      </c>
    </row>
    <row r="17" ht="16" customHeight="1">
      <c r="A17" s="22" t="n">
        <v>2</v>
      </c>
      <c r="B17" s="22" t="inlineStr">
        <is>
          <t>P3-1</t>
        </is>
      </c>
      <c r="C17" s="22" t="inlineStr">
        <is>
          <t>Create held-out temporal test set split</t>
        </is>
      </c>
      <c r="D17" s="22" t="inlineStr">
        <is>
          <t>split.py (new)</t>
        </is>
      </c>
      <c r="E17" s="22" t="inlineStr">
        <is>
          <t>+8</t>
        </is>
      </c>
      <c r="F17" s="23" t="inlineStr">
        <is>
          <t>CRITICAL</t>
        </is>
      </c>
      <c r="G17" s="22" t="inlineStr">
        <is>
          <t>Not Started</t>
        </is>
      </c>
    </row>
    <row r="18" ht="16" customHeight="1">
      <c r="A18" s="22" t="n">
        <v>3</v>
      </c>
      <c r="B18" s="22" t="inlineStr">
        <is>
          <t>P8-1</t>
        </is>
      </c>
      <c r="C18" s="22" t="inlineStr">
        <is>
          <t>Multi-model comparison experiment (LR/RF/LightGBM/CatBoost)</t>
        </is>
      </c>
      <c r="D18" s="22" t="inlineStr">
        <is>
          <t>model_comparison.py</t>
        </is>
      </c>
      <c r="E18" s="22" t="inlineStr">
        <is>
          <t>+6</t>
        </is>
      </c>
      <c r="F18" s="23" t="inlineStr">
        <is>
          <t>CRITICAL</t>
        </is>
      </c>
      <c r="G18" s="22" t="inlineStr">
        <is>
          <t>Not Started</t>
        </is>
      </c>
    </row>
    <row r="19" ht="16" customHeight="1">
      <c r="A19" s="22" t="n">
        <v>4</v>
      </c>
      <c r="B19" s="22" t="inlineStr">
        <is>
          <t>P4-5</t>
        </is>
      </c>
      <c r="C19" s="22" t="inlineStr">
        <is>
          <t>Compute ECE per class (pre + post calibration)</t>
        </is>
      </c>
      <c r="D19" s="22" t="inlineStr">
        <is>
          <t>calibrate.py</t>
        </is>
      </c>
      <c r="E19" s="22" t="inlineStr">
        <is>
          <t>+6</t>
        </is>
      </c>
      <c r="F19" s="23" t="inlineStr">
        <is>
          <t>CRITICAL</t>
        </is>
      </c>
      <c r="G19" s="22" t="inlineStr">
        <is>
          <t>Not Started</t>
        </is>
      </c>
    </row>
    <row r="20" ht="16" customHeight="1">
      <c r="A20" s="22" t="n">
        <v>5</v>
      </c>
      <c r="B20" s="22" t="inlineStr">
        <is>
          <t>P8-2</t>
        </is>
      </c>
      <c r="C20" s="22" t="inlineStr">
        <is>
          <t>Calibration method comparison experiment</t>
        </is>
      </c>
      <c r="D20" s="22" t="inlineStr">
        <is>
          <t>calibrate.py</t>
        </is>
      </c>
      <c r="E20" s="22" t="inlineStr">
        <is>
          <t>+5</t>
        </is>
      </c>
      <c r="F20" s="23" t="inlineStr">
        <is>
          <t>CRITICAL</t>
        </is>
      </c>
      <c r="G20" s="22" t="inlineStr">
        <is>
          <t>Not Started</t>
        </is>
      </c>
    </row>
    <row r="21" ht="16" customHeight="1">
      <c r="A21" s="22" t="n">
        <v>6</v>
      </c>
      <c r="B21" s="22" t="inlineStr">
        <is>
          <t>P5-1</t>
        </is>
      </c>
      <c r="C21" s="22" t="inlineStr">
        <is>
          <t>Rewrite evaluate_model.py to use test set only</t>
        </is>
      </c>
      <c r="D21" s="22" t="inlineStr">
        <is>
          <t>evaluate_model.py</t>
        </is>
      </c>
      <c r="E21" s="22" t="inlineStr">
        <is>
          <t>+5</t>
        </is>
      </c>
      <c r="F21" s="23" t="inlineStr">
        <is>
          <t>CRITICAL</t>
        </is>
      </c>
      <c r="G21" s="22" t="inlineStr">
        <is>
          <t>Not Started</t>
        </is>
      </c>
    </row>
    <row r="22" ht="16" customHeight="1">
      <c r="A22" s="22" t="n">
        <v>7</v>
      </c>
      <c r="B22" s="22" t="inlineStr">
        <is>
          <t>P3-2</t>
        </is>
      </c>
      <c r="C22" s="22" t="inlineStr">
        <is>
          <t>Fix model selection: accuracy → log_loss</t>
        </is>
      </c>
      <c r="D22" s="22" t="inlineStr">
        <is>
          <t>train_production.py:113</t>
        </is>
      </c>
      <c r="E22" s="22" t="inlineStr">
        <is>
          <t>+4</t>
        </is>
      </c>
      <c r="F22" s="23" t="inlineStr">
        <is>
          <t>CRITICAL</t>
        </is>
      </c>
      <c r="G22" s="22" t="inlineStr">
        <is>
          <t>Not Started</t>
        </is>
      </c>
    </row>
    <row r="23" ht="16" customHeight="1">
      <c r="A23" s="22" t="n">
        <v>8</v>
      </c>
      <c r="B23" s="22" t="inlineStr">
        <is>
          <t>P1-1</t>
        </is>
      </c>
      <c r="C23" s="22" t="inlineStr">
        <is>
          <t>Fix search_day bug (.day → .weekday())</t>
        </is>
      </c>
      <c r="D23" s="22" t="inlineStr">
        <is>
          <t>app.py:105</t>
        </is>
      </c>
      <c r="E23" s="22" t="inlineStr">
        <is>
          <t>+2</t>
        </is>
      </c>
      <c r="F23" s="23" t="inlineStr">
        <is>
          <t>CRITICAL</t>
        </is>
      </c>
      <c r="G23" s="22" t="inlineStr">
        <is>
          <t>Not Started</t>
        </is>
      </c>
    </row>
    <row r="24" ht="16" customHeight="1">
      <c r="A24" s="22" t="n">
        <v>9</v>
      </c>
      <c r="B24" s="22" t="inlineStr">
        <is>
          <t>P5-5</t>
        </is>
      </c>
      <c r="C24" s="22" t="inlineStr">
        <is>
          <t>SHAP feature importance analysis</t>
        </is>
      </c>
      <c r="D24" s="22" t="inlineStr">
        <is>
          <t>evaluate_model.py</t>
        </is>
      </c>
      <c r="E24" s="22" t="inlineStr">
        <is>
          <t>+4</t>
        </is>
      </c>
      <c r="F24" s="24" t="inlineStr">
        <is>
          <t>High</t>
        </is>
      </c>
      <c r="G24" s="22" t="inlineStr">
        <is>
          <t>Not Started</t>
        </is>
      </c>
    </row>
    <row r="25" ht="16" customHeight="1">
      <c r="A25" s="22" t="n">
        <v>10</v>
      </c>
      <c r="B25" s="22" t="inlineStr">
        <is>
          <t>P4-6</t>
        </is>
      </c>
      <c r="C25" s="22" t="inlineStr">
        <is>
          <t>Generate reliability diagrams (pre/post calibration)</t>
        </is>
      </c>
      <c r="D25" s="22" t="inlineStr">
        <is>
          <t>calibrate.py</t>
        </is>
      </c>
      <c r="E25" s="22" t="inlineStr">
        <is>
          <t>+3</t>
        </is>
      </c>
      <c r="F25" s="23" t="inlineStr">
        <is>
          <t>CRITICAL</t>
        </is>
      </c>
      <c r="G25" s="22" t="inlineStr">
        <is>
          <t>Not Started</t>
        </is>
      </c>
    </row>
  </sheetData>
  <mergeCells count="21">
    <mergeCell ref="C6:D6"/>
    <mergeCell ref="I6:J6"/>
    <mergeCell ref="C5:D5"/>
    <mergeCell ref="E5:F5"/>
    <mergeCell ref="A3:L3"/>
    <mergeCell ref="E8:F8"/>
    <mergeCell ref="A6:B6"/>
    <mergeCell ref="A1:L2"/>
    <mergeCell ref="A14:L14"/>
    <mergeCell ref="G6:H6"/>
    <mergeCell ref="C9:D9"/>
    <mergeCell ref="E9:F9"/>
    <mergeCell ref="A4:L4"/>
    <mergeCell ref="E6:F6"/>
    <mergeCell ref="A5:B5"/>
    <mergeCell ref="G5:H5"/>
    <mergeCell ref="I5:J5"/>
    <mergeCell ref="A8:B8"/>
    <mergeCell ref="C8:D8"/>
    <mergeCell ref="A11:L1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2" customWidth="1" min="3" max="3"/>
    <col width="55" customWidth="1" min="4" max="4"/>
    <col width="28" customWidth="1" min="5" max="5"/>
    <col width="8" customWidth="1" min="6" max="6"/>
    <col width="8" customWidth="1" min="7" max="7"/>
    <col width="10" customWidth="1" min="8" max="8"/>
    <col width="13" customWidth="1" min="9" max="9"/>
    <col width="10" customWidth="1" min="10" max="10"/>
    <col width="40" customWidth="1" min="11" max="11"/>
  </cols>
  <sheetData>
    <row r="1" ht="30" customHeight="1">
      <c r="A1" s="25" t="inlineStr">
        <is>
          <t>Task ID</t>
        </is>
      </c>
      <c r="B1" s="25" t="inlineStr">
        <is>
          <t>Phase</t>
        </is>
      </c>
      <c r="C1" s="25" t="inlineStr">
        <is>
          <t>Task Name</t>
        </is>
      </c>
      <c r="D1" s="25" t="inlineStr">
        <is>
          <t>Description</t>
        </is>
      </c>
      <c r="E1" s="25" t="inlineStr">
        <is>
          <t>File to Edit</t>
        </is>
      </c>
      <c r="F1" s="25" t="inlineStr">
        <is>
          <t>LOC Est.</t>
        </is>
      </c>
      <c r="G1" s="25" t="inlineStr">
        <is>
          <t>Marks
at Stake</t>
        </is>
      </c>
      <c r="H1" s="25" t="inlineStr">
        <is>
          <t>Priority</t>
        </is>
      </c>
      <c r="I1" s="25" t="inlineStr">
        <is>
          <t>Status</t>
        </is>
      </c>
      <c r="J1" s="25" t="inlineStr">
        <is>
          <t>Marks
Recovered</t>
        </is>
      </c>
      <c r="K1" s="25" t="inlineStr">
        <is>
          <t>Notes</t>
        </is>
      </c>
    </row>
    <row r="2" ht="20" customHeight="1">
      <c r="A2" s="26" t="inlineStr">
        <is>
          <t>PHASE 0 — Problem Formulation</t>
        </is>
      </c>
    </row>
    <row r="3" ht="16" customHeight="1">
      <c r="A3" s="27" t="inlineStr">
        <is>
          <t>P0-1</t>
        </is>
      </c>
      <c r="B3" s="27" t="inlineStr">
        <is>
          <t>Phase 0</t>
        </is>
      </c>
      <c r="C3" s="27" t="inlineStr">
        <is>
          <t>Write Formal Hypotheses</t>
        </is>
      </c>
      <c r="D3" s="27" t="inlineStr">
        <is>
          <t>Add H1 (CatBoost outperforms baselines), H2 (calibration reduces ECE), H3 (sub-100ms achieved)</t>
        </is>
      </c>
      <c r="E3" s="27" t="inlineStr">
        <is>
          <t>README.md</t>
        </is>
      </c>
      <c r="F3" s="27" t="n">
        <v>20</v>
      </c>
      <c r="G3" s="27" t="n">
        <v>2</v>
      </c>
      <c r="H3" s="24" t="inlineStr">
        <is>
          <t>High</t>
        </is>
      </c>
      <c r="I3" s="28" t="inlineStr">
        <is>
          <t>Not Started</t>
        </is>
      </c>
      <c r="J3" s="29">
        <f>IF(I3="Done",G3,0)</f>
        <v/>
      </c>
      <c r="K3" s="27" t="inlineStr">
        <is>
          <t>Research paper requirement</t>
        </is>
      </c>
    </row>
    <row r="4" ht="16" customHeight="1">
      <c r="A4" s="27" t="inlineStr">
        <is>
          <t>P0-2</t>
        </is>
      </c>
      <c r="B4" s="27" t="inlineStr">
        <is>
          <t>Phase 0</t>
        </is>
      </c>
      <c r="C4" s="27" t="inlineStr">
        <is>
          <t>Define Success Criteria</t>
        </is>
      </c>
      <c r="D4" s="27" t="inlineStr">
        <is>
          <t>Document ECE&lt;0.05, macro-F1&gt;0.70, p99&lt;100ms targets</t>
        </is>
      </c>
      <c r="E4" s="27" t="inlineStr">
        <is>
          <t>README.md</t>
        </is>
      </c>
      <c r="F4" s="27" t="n">
        <v>15</v>
      </c>
      <c r="G4" s="27" t="n">
        <v>1</v>
      </c>
      <c r="H4" s="30" t="inlineStr">
        <is>
          <t>Medium</t>
        </is>
      </c>
      <c r="I4" s="28" t="inlineStr">
        <is>
          <t>Not Started</t>
        </is>
      </c>
      <c r="J4" s="29">
        <f>IF(I4="Done",G4,0)</f>
        <v/>
      </c>
      <c r="K4" s="27" t="inlineStr">
        <is>
          <t>Must appear in methodology section</t>
        </is>
      </c>
    </row>
    <row r="5" ht="16" customHeight="1">
      <c r="A5" s="27" t="inlineStr">
        <is>
          <t>P0-3</t>
        </is>
      </c>
      <c r="B5" s="27" t="inlineStr">
        <is>
          <t>Phase 0</t>
        </is>
      </c>
      <c r="C5" s="27" t="inlineStr">
        <is>
          <t>Class Semantic Documentation</t>
        </is>
      </c>
      <c r="D5" s="27" t="inlineStr">
        <is>
          <t>Document Booked/PM/NA/NB operationally with business cost</t>
        </is>
      </c>
      <c r="E5" s="27" t="inlineStr">
        <is>
          <t>README.md</t>
        </is>
      </c>
      <c r="F5" s="27" t="n">
        <v>30</v>
      </c>
      <c r="G5" s="27" t="n">
        <v>1</v>
      </c>
      <c r="H5" s="30" t="inlineStr">
        <is>
          <t>Medium</t>
        </is>
      </c>
      <c r="I5" s="28" t="inlineStr">
        <is>
          <t>Not Started</t>
        </is>
      </c>
      <c r="J5" s="29">
        <f>IF(I5="Done",G5,0)</f>
        <v/>
      </c>
      <c r="K5" s="27" t="inlineStr">
        <is>
          <t>Required for data section of paper</t>
        </is>
      </c>
    </row>
    <row r="6" ht="16" customHeight="1">
      <c r="A6" s="27" t="inlineStr">
        <is>
          <t>P0-4</t>
        </is>
      </c>
      <c r="B6" s="27" t="inlineStr">
        <is>
          <t>Phase 0</t>
        </is>
      </c>
      <c r="C6" s="27" t="inlineStr">
        <is>
          <t>Create constants.py shared module</t>
        </is>
      </c>
      <c r="D6" s="27" t="inlineStr">
        <is>
          <t>Move outcome_map, feature_order into one importable file — fixes TripAdvisor inconsistency</t>
        </is>
      </c>
      <c r="E6" s="27" t="inlineStr">
        <is>
          <t>constants.py (new)</t>
        </is>
      </c>
      <c r="F6" s="27" t="n">
        <v>25</v>
      </c>
      <c r="G6" s="27" t="n">
        <v>1</v>
      </c>
      <c r="H6" s="24" t="inlineStr">
        <is>
          <t>High</t>
        </is>
      </c>
      <c r="I6" s="28" t="inlineStr">
        <is>
          <t>Not Started</t>
        </is>
      </c>
      <c r="J6" s="29">
        <f>IF(I6="Done",G6,0)</f>
        <v/>
      </c>
      <c r="K6" s="27" t="inlineStr">
        <is>
          <t>Fixes class gap across 3 files</t>
        </is>
      </c>
    </row>
    <row r="7" ht="20" customHeight="1">
      <c r="A7" s="26" t="inlineStr">
        <is>
          <t>PHASE 1 — Data Pipeline</t>
        </is>
      </c>
    </row>
    <row r="8" ht="16" customHeight="1">
      <c r="A8" s="27" t="inlineStr">
        <is>
          <t>P1-1</t>
        </is>
      </c>
      <c r="B8" s="27" t="inlineStr">
        <is>
          <t>Phase 1</t>
        </is>
      </c>
      <c r="C8" s="27" t="inlineStr">
        <is>
          <t>Fix search_day bug in app.py</t>
        </is>
      </c>
      <c r="D8" s="27" t="inlineStr">
        <is>
          <t>CRITICAL: Change line 105 from search_date.day to search_date.weekday()</t>
        </is>
      </c>
      <c r="E8" s="27" t="inlineStr">
        <is>
          <t>app.py line 105</t>
        </is>
      </c>
      <c r="F8" s="27" t="n">
        <v>1</v>
      </c>
      <c r="G8" s="27" t="n">
        <v>2</v>
      </c>
      <c r="H8" s="23" t="inlineStr">
        <is>
          <t>CRITICAL</t>
        </is>
      </c>
      <c r="I8" s="28" t="inlineStr">
        <is>
          <t>Not Started</t>
        </is>
      </c>
      <c r="J8" s="29">
        <f>IF(I8="Done",G8,0)</f>
        <v/>
      </c>
      <c r="K8" s="27" t="inlineStr">
        <is>
          <t>1-character fix — do first</t>
        </is>
      </c>
    </row>
    <row r="9" ht="16" customHeight="1">
      <c r="A9" s="27" t="inlineStr">
        <is>
          <t>P1-2</t>
        </is>
      </c>
      <c r="B9" s="27" t="inlineStr">
        <is>
          <t>Phase 1</t>
        </is>
      </c>
      <c r="C9" s="27" t="inlineStr">
        <is>
          <t>Add data quality logging</t>
        </is>
      </c>
      <c r="D9" s="27" t="inlineStr">
        <is>
          <t>Log rows dropped per filter: NaT dates, negative days, dropna count, final class dist</t>
        </is>
      </c>
      <c r="E9" s="27" t="inlineStr">
        <is>
          <t>process_full_data.py</t>
        </is>
      </c>
      <c r="F9" s="27" t="n">
        <v>30</v>
      </c>
      <c r="G9" s="27" t="n">
        <v>1</v>
      </c>
      <c r="H9" s="24" t="inlineStr">
        <is>
          <t>High</t>
        </is>
      </c>
      <c r="I9" s="28" t="inlineStr">
        <is>
          <t>Not Started</t>
        </is>
      </c>
      <c r="J9" s="29">
        <f>IF(I9="Done",G9,0)</f>
        <v/>
      </c>
      <c r="K9" s="27" t="inlineStr">
        <is>
          <t>Required for paper's data section</t>
        </is>
      </c>
    </row>
    <row r="10" ht="16" customHeight="1">
      <c r="A10" s="27" t="inlineStr">
        <is>
          <t>P1-3</t>
        </is>
      </c>
      <c r="B10" s="27" t="inlineStr">
        <is>
          <t>Phase 1</t>
        </is>
      </c>
      <c r="C10" s="27" t="inlineStr">
        <is>
          <t>Add schema validation</t>
        </is>
      </c>
      <c r="D10" s="27" t="inlineStr">
        <is>
          <t>Assert REQUIRED_COLS present before processing begins</t>
        </is>
      </c>
      <c r="E10" s="27" t="inlineStr">
        <is>
          <t>process_full_data.py</t>
        </is>
      </c>
      <c r="F10" s="27" t="n">
        <v>15</v>
      </c>
      <c r="G10" s="27" t="n">
        <v>1</v>
      </c>
      <c r="H10" s="24" t="inlineStr">
        <is>
          <t>High</t>
        </is>
      </c>
      <c r="I10" s="28" t="inlineStr">
        <is>
          <t>Not Started</t>
        </is>
      </c>
      <c r="J10" s="29">
        <f>IF(I10="Done",G10,0)</f>
        <v/>
      </c>
      <c r="K10" s="27" t="inlineStr">
        <is>
          <t>Prevents silent schema failures</t>
        </is>
      </c>
    </row>
    <row r="11" ht="16" customHeight="1">
      <c r="A11" s="27" t="inlineStr">
        <is>
          <t>P1-4</t>
        </is>
      </c>
      <c r="B11" s="27" t="inlineStr">
        <is>
          <t>Phase 1</t>
        </is>
      </c>
      <c r="C11" s="27" t="inlineStr">
        <is>
          <t>Fix meta engine dropdown in app.py</t>
        </is>
      </c>
      <c r="D11" s="27" t="inlineStr">
        <is>
          <t>Add 'Direct' and 'TripAdvisor' to meta_engine_options — training classes not selectable</t>
        </is>
      </c>
      <c r="E11" s="27" t="inlineStr">
        <is>
          <t>app.py line 44</t>
        </is>
      </c>
      <c r="F11" s="27" t="n">
        <v>3</v>
      </c>
      <c r="G11" s="27" t="n">
        <v>1</v>
      </c>
      <c r="H11" s="23" t="inlineStr">
        <is>
          <t>CRITICAL</t>
        </is>
      </c>
      <c r="I11" s="28" t="inlineStr">
        <is>
          <t>Not Started</t>
        </is>
      </c>
      <c r="J11" s="29">
        <f>IF(I11="Done",G11,0)</f>
        <v/>
      </c>
      <c r="K11" s="27" t="inlineStr">
        <is>
          <t>Fixes training-serving class gap</t>
        </is>
      </c>
    </row>
    <row r="12" ht="16" customHeight="1">
      <c r="A12" s="27" t="inlineStr">
        <is>
          <t>P1-5</t>
        </is>
      </c>
      <c r="B12" s="27" t="inlineStr">
        <is>
          <t>Phase 1</t>
        </is>
      </c>
      <c r="C12" s="27" t="inlineStr">
        <is>
          <t>Add advanced temporal features</t>
        </is>
      </c>
      <c r="D12" s="27" t="inlineStr">
        <is>
          <t>Add hours_to_departure, dep_day_of_week, booking_window_bucket, is_red_eye</t>
        </is>
      </c>
      <c r="E12" s="27" t="inlineStr">
        <is>
          <t>process_full_data.py</t>
        </is>
      </c>
      <c r="F12" s="27" t="n">
        <v>20</v>
      </c>
      <c r="G12" s="27" t="n">
        <v>2</v>
      </c>
      <c r="H12" s="24" t="inlineStr">
        <is>
          <t>High</t>
        </is>
      </c>
      <c r="I12" s="28" t="inlineStr">
        <is>
          <t>Not Started</t>
        </is>
      </c>
      <c r="J12" s="29">
        <f>IF(I12="Done",G12,0)</f>
        <v/>
      </c>
      <c r="K12" s="27" t="inlineStr">
        <is>
          <t>5 missing features from pipeline</t>
        </is>
      </c>
    </row>
    <row r="13" ht="16" customHeight="1">
      <c r="A13" s="27" t="inlineStr">
        <is>
          <t>P1-6</t>
        </is>
      </c>
      <c r="B13" s="27" t="inlineStr">
        <is>
          <t>Phase 1</t>
        </is>
      </c>
      <c r="C13" s="27" t="inlineStr">
        <is>
          <t>Fix exception handling</t>
        </is>
      </c>
      <c r="D13" s="27" t="inlineStr">
        <is>
          <t>Replace bare except: with except Exception as e: logging.warning(...)</t>
        </is>
      </c>
      <c r="E13" s="27" t="inlineStr">
        <is>
          <t>process_full_data.py</t>
        </is>
      </c>
      <c r="F13" s="27" t="n">
        <v>5</v>
      </c>
      <c r="G13" s="27" t="n">
        <v>0.5</v>
      </c>
      <c r="H13" s="30" t="inlineStr">
        <is>
          <t>Medium</t>
        </is>
      </c>
      <c r="I13" s="28" t="inlineStr">
        <is>
          <t>Not Started</t>
        </is>
      </c>
      <c r="J13" s="29">
        <f>IF(I13="Done",G13,0)</f>
        <v/>
      </c>
      <c r="K13" s="27" t="inlineStr">
        <is>
          <t>Bare except swallows all errors</t>
        </is>
      </c>
    </row>
    <row r="14" ht="20" customHeight="1">
      <c r="A14" s="26" t="inlineStr">
        <is>
          <t>PHASE 2 — Feature Engineering</t>
        </is>
      </c>
    </row>
    <row r="15" ht="16" customHeight="1">
      <c r="A15" s="27" t="inlineStr">
        <is>
          <t>P2-1</t>
        </is>
      </c>
      <c r="B15" s="27" t="inlineStr">
        <is>
          <t>Phase 2</t>
        </is>
      </c>
      <c r="C15" s="27" t="inlineStr">
        <is>
          <t>Add route_cabin interaction feature</t>
        </is>
      </c>
      <c r="D15" s="27" t="inlineStr">
        <is>
          <t>origin+dest+cabin inside CV fold loop to capture premium seat scarcity on routes</t>
        </is>
      </c>
      <c r="E15" s="27" t="inlineStr">
        <is>
          <t>train_production.py</t>
        </is>
      </c>
      <c r="F15" s="27" t="n">
        <v>4</v>
      </c>
      <c r="G15" s="27" t="n">
        <v>1</v>
      </c>
      <c r="H15" s="24" t="inlineStr">
        <is>
          <t>High</t>
        </is>
      </c>
      <c r="I15" s="28" t="inlineStr">
        <is>
          <t>Not Started</t>
        </is>
      </c>
      <c r="J15" s="29">
        <f>IF(I15="Done",G15,0)</f>
        <v/>
      </c>
      <c r="K15" s="27" t="inlineStr"/>
    </row>
    <row r="16" ht="16" customHeight="1">
      <c r="A16" s="27" t="inlineStr">
        <is>
          <t>P2-2</t>
        </is>
      </c>
      <c r="B16" s="27" t="inlineStr">
        <is>
          <t>Phase 2</t>
        </is>
      </c>
      <c r="C16" s="27" t="inlineStr">
        <is>
          <t>Add engine_window interaction feature</t>
        </is>
      </c>
      <c r="D16" s="27" t="inlineStr">
        <is>
          <t>meta_engine+booking_window_bucket inside fold loop</t>
        </is>
      </c>
      <c r="E16" s="27" t="inlineStr">
        <is>
          <t>train_production.py</t>
        </is>
      </c>
      <c r="F16" s="27" t="n">
        <v>4</v>
      </c>
      <c r="G16" s="27" t="n">
        <v>1</v>
      </c>
      <c r="H16" s="24" t="inlineStr">
        <is>
          <t>High</t>
        </is>
      </c>
      <c r="I16" s="28" t="inlineStr">
        <is>
          <t>Not Started</t>
        </is>
      </c>
      <c r="J16" s="29">
        <f>IF(I16="Done",G16,0)</f>
        <v/>
      </c>
      <c r="K16" s="27" t="inlineStr"/>
    </row>
    <row r="17" ht="16" customHeight="1">
      <c r="A17" s="27" t="inlineStr">
        <is>
          <t>P2-3</t>
        </is>
      </c>
      <c r="B17" s="27" t="inlineStr">
        <is>
          <t>Phase 2</t>
        </is>
      </c>
      <c r="C17" s="27" t="inlineStr">
        <is>
          <t>Remove dead target_encode() function</t>
        </is>
      </c>
      <c r="D17" s="27" t="inlineStr">
        <is>
          <t>Delete lines 42-58: defined but never called — misleads examiner</t>
        </is>
      </c>
      <c r="E17" s="27" t="inlineStr">
        <is>
          <t>train_production.py</t>
        </is>
      </c>
      <c r="F17" s="27" t="n">
        <v>0</v>
      </c>
      <c r="G17" s="27" t="n">
        <v>1</v>
      </c>
      <c r="H17" s="30" t="inlineStr">
        <is>
          <t>Medium</t>
        </is>
      </c>
      <c r="I17" s="28" t="inlineStr">
        <is>
          <t>Not Started</t>
        </is>
      </c>
      <c r="J17" s="29">
        <f>IF(I17="Done",G17,0)</f>
        <v/>
      </c>
      <c r="K17" s="27" t="inlineStr">
        <is>
          <t>Delete 17 lines of dead code</t>
        </is>
      </c>
    </row>
    <row r="18" ht="16" customHeight="1">
      <c r="A18" s="27" t="inlineStr">
        <is>
          <t>P2-4</t>
        </is>
      </c>
      <c r="B18" s="27" t="inlineStr">
        <is>
          <t>Phase 2</t>
        </is>
      </c>
      <c r="C18" s="27" t="inlineStr">
        <is>
          <t>Remove unused imports</t>
        </is>
      </c>
      <c r="D18" s="27" t="inlineStr">
        <is>
          <t>Remove import joblib from train_production.py and app.py</t>
        </is>
      </c>
      <c r="E18" s="27" t="inlineStr">
        <is>
          <t>Multiple files</t>
        </is>
      </c>
      <c r="F18" s="27" t="n">
        <v>2</v>
      </c>
      <c r="G18" s="27" t="n">
        <v>0.5</v>
      </c>
      <c r="H18" s="31" t="inlineStr">
        <is>
          <t>Low</t>
        </is>
      </c>
      <c r="I18" s="28" t="inlineStr">
        <is>
          <t>Not Started</t>
        </is>
      </c>
      <c r="J18" s="29">
        <f>IF(I18="Done",G18,0)</f>
        <v/>
      </c>
      <c r="K18" s="27" t="inlineStr">
        <is>
          <t>Dead imports</t>
        </is>
      </c>
    </row>
    <row r="19" ht="16" customHeight="1">
      <c r="A19" s="27" t="inlineStr">
        <is>
          <t>P2-5</t>
        </is>
      </c>
      <c r="B19" s="27" t="inlineStr">
        <is>
          <t>Phase 2</t>
        </is>
      </c>
      <c r="C19" s="27" t="inlineStr">
        <is>
          <t>Add log(days+1) feature</t>
        </is>
      </c>
      <c r="D19" s="27" t="inlineStr">
        <is>
          <t>log1p transform of days_to_departure as additional numerical feature</t>
        </is>
      </c>
      <c r="E19" s="27" t="inlineStr">
        <is>
          <t>train_production.py + app.py</t>
        </is>
      </c>
      <c r="F19" s="27" t="n">
        <v>4</v>
      </c>
      <c r="G19" s="27" t="n">
        <v>1.5</v>
      </c>
      <c r="H19" s="30" t="inlineStr">
        <is>
          <t>Medium</t>
        </is>
      </c>
      <c r="I19" s="28" t="inlineStr">
        <is>
          <t>Not Started</t>
        </is>
      </c>
      <c r="J19" s="29">
        <f>IF(I19="Done",G19,0)</f>
        <v/>
      </c>
      <c r="K19" s="27" t="inlineStr">
        <is>
          <t>Compresses right-skewed distribution</t>
        </is>
      </c>
    </row>
    <row r="20" ht="20" customHeight="1">
      <c r="A20" s="26" t="inlineStr">
        <is>
          <t>PHASE 3 — Model Training</t>
        </is>
      </c>
    </row>
    <row r="21" ht="16" customHeight="1">
      <c r="A21" s="27" t="inlineStr">
        <is>
          <t>P3-1</t>
        </is>
      </c>
      <c r="B21" s="27" t="inlineStr">
        <is>
          <t>Phase 3</t>
        </is>
      </c>
      <c r="C21" s="27" t="inlineStr">
        <is>
          <t>Create train/cal/test split script</t>
        </is>
      </c>
      <c r="D21" s="27" t="inlineStr">
        <is>
          <t>CRITICAL: Save last 20% by booking_time as test set BEFORE any training. Save X_test.pkl, y_test.pkl</t>
        </is>
      </c>
      <c r="E21" s="27" t="inlineStr">
        <is>
          <t>split.py (new)</t>
        </is>
      </c>
      <c r="F21" s="27" t="n">
        <v>40</v>
      </c>
      <c r="G21" s="27" t="n">
        <v>5</v>
      </c>
      <c r="H21" s="23" t="inlineStr">
        <is>
          <t>CRITICAL</t>
        </is>
      </c>
      <c r="I21" s="28" t="inlineStr">
        <is>
          <t>Not Started</t>
        </is>
      </c>
      <c r="J21" s="29">
        <f>IF(I21="Done",G21,0)</f>
        <v/>
      </c>
      <c r="K21" s="27" t="inlineStr">
        <is>
          <t>Prerequisite for all valid evaluation</t>
        </is>
      </c>
    </row>
    <row r="22" ht="16" customHeight="1">
      <c r="A22" s="27" t="inlineStr">
        <is>
          <t>P3-2</t>
        </is>
      </c>
      <c r="B22" s="27" t="inlineStr">
        <is>
          <t>Phase 3</t>
        </is>
      </c>
      <c r="C22" s="27" t="inlineStr">
        <is>
          <t>Fix model selection criterion</t>
        </is>
      </c>
      <c r="D22" s="27" t="inlineStr">
        <is>
          <t>Change model.score() (accuracy) to log_loss() for best fold selection in CV loop</t>
        </is>
      </c>
      <c r="E22" s="27" t="inlineStr">
        <is>
          <t>train_production.py line 113</t>
        </is>
      </c>
      <c r="F22" s="27" t="n">
        <v>5</v>
      </c>
      <c r="G22" s="27" t="n">
        <v>3</v>
      </c>
      <c r="H22" s="23" t="inlineStr">
        <is>
          <t>CRITICAL</t>
        </is>
      </c>
      <c r="I22" s="28" t="inlineStr">
        <is>
          <t>Not Started</t>
        </is>
      </c>
      <c r="J22" s="29">
        <f>IF(I22="Done",G22,0)</f>
        <v/>
      </c>
      <c r="K22" s="27" t="inlineStr">
        <is>
          <t>Accuracy on imbalanced data = wrong metric</t>
        </is>
      </c>
    </row>
    <row r="23" ht="16" customHeight="1">
      <c r="A23" s="27" t="inlineStr">
        <is>
          <t>P3-3</t>
        </is>
      </c>
      <c r="B23" s="27" t="inlineStr">
        <is>
          <t>Phase 3</t>
        </is>
      </c>
      <c r="C23" s="27" t="inlineStr">
        <is>
          <t>Add multi-metric CV tracking</t>
        </is>
      </c>
      <c r="D23" s="27" t="inlineStr">
        <is>
          <t>Track log_loss, macro_f1, pm_f1, brier_score per fold (not just accuracy)</t>
        </is>
      </c>
      <c r="E23" s="27" t="inlineStr">
        <is>
          <t>train_production.py</t>
        </is>
      </c>
      <c r="F23" s="27" t="n">
        <v>25</v>
      </c>
      <c r="G23" s="27" t="n">
        <v>2</v>
      </c>
      <c r="H23" s="24" t="inlineStr">
        <is>
          <t>High</t>
        </is>
      </c>
      <c r="I23" s="28" t="inlineStr">
        <is>
          <t>Not Started</t>
        </is>
      </c>
      <c r="J23" s="29">
        <f>IF(I23="Done",G23,0)</f>
        <v/>
      </c>
      <c r="K23" s="27" t="inlineStr"/>
    </row>
    <row r="24" ht="16" customHeight="1">
      <c r="A24" s="27" t="inlineStr">
        <is>
          <t>P3-4</t>
        </is>
      </c>
      <c r="B24" s="27" t="inlineStr">
        <is>
          <t>Phase 3</t>
        </is>
      </c>
      <c r="C24" s="27" t="inlineStr">
        <is>
          <t>Generate confusion matrix PNG</t>
        </is>
      </c>
      <c r="D24" s="27" t="inlineStr">
        <is>
          <t>Add seaborn heatmap + plt.savefig() — was promised in config but never created</t>
        </is>
      </c>
      <c r="E24" s="27" t="inlineStr">
        <is>
          <t>train_production.py</t>
        </is>
      </c>
      <c r="F24" s="27" t="n">
        <v>15</v>
      </c>
      <c r="G24" s="27" t="n">
        <v>1</v>
      </c>
      <c r="H24" s="24" t="inlineStr">
        <is>
          <t>High</t>
        </is>
      </c>
      <c r="I24" s="28" t="inlineStr">
        <is>
          <t>Not Started</t>
        </is>
      </c>
      <c r="J24" s="29">
        <f>IF(I24="Done",G24,0)</f>
        <v/>
      </c>
      <c r="K24" s="27" t="inlineStr">
        <is>
          <t>CONFUSION_MATRIX_FILE declared but unused</t>
        </is>
      </c>
    </row>
    <row r="25" ht="16" customHeight="1">
      <c r="A25" s="27" t="inlineStr">
        <is>
          <t>P3-5</t>
        </is>
      </c>
      <c r="B25" s="27" t="inlineStr">
        <is>
          <t>Phase 3</t>
        </is>
      </c>
      <c r="C25" s="27" t="inlineStr">
        <is>
          <t>Save model metadata JSON</t>
        </is>
      </c>
      <c r="D25" s="27" t="inlineStr">
        <is>
          <t>Save training date, feature list, CV scores, hyperparams to model_metadata.json</t>
        </is>
      </c>
      <c r="E25" s="27" t="inlineStr">
        <is>
          <t>train_production.py</t>
        </is>
      </c>
      <c r="F25" s="27" t="n">
        <v>20</v>
      </c>
      <c r="G25" s="27" t="n">
        <v>1</v>
      </c>
      <c r="H25" s="30" t="inlineStr">
        <is>
          <t>Medium</t>
        </is>
      </c>
      <c r="I25" s="28" t="inlineStr">
        <is>
          <t>Not Started</t>
        </is>
      </c>
      <c r="J25" s="29">
        <f>IF(I25="Done",G25,0)</f>
        <v/>
      </c>
      <c r="K25" s="27" t="inlineStr"/>
    </row>
    <row r="26" ht="16" customHeight="1">
      <c r="A26" s="27" t="inlineStr">
        <is>
          <t>P3-6</t>
        </is>
      </c>
      <c r="B26" s="27" t="inlineStr">
        <is>
          <t>Phase 3</t>
        </is>
      </c>
      <c r="C26" s="27" t="inlineStr">
        <is>
          <t>Multi-model comparison experiment</t>
        </is>
      </c>
      <c r="D26" s="27" t="inlineStr">
        <is>
          <t>Train LR, RF, LightGBM, CatBoost on same CV folds — compare log-loss/macro-F1/PM-F1</t>
        </is>
      </c>
      <c r="E26" s="27" t="inlineStr">
        <is>
          <t>model_comparison.py (new)</t>
        </is>
      </c>
      <c r="F26" s="27" t="n">
        <v>80</v>
      </c>
      <c r="G26" s="27" t="n">
        <v>6</v>
      </c>
      <c r="H26" s="23" t="inlineStr">
        <is>
          <t>CRITICAL</t>
        </is>
      </c>
      <c r="I26" s="28" t="inlineStr">
        <is>
          <t>Not Started</t>
        </is>
      </c>
      <c r="J26" s="29">
        <f>IF(I26="Done",G26,0)</f>
        <v/>
      </c>
      <c r="K26" s="27" t="inlineStr">
        <is>
          <t>Required to justify CatBoost choice</t>
        </is>
      </c>
    </row>
    <row r="27" ht="20" customHeight="1">
      <c r="A27" s="26" t="inlineStr">
        <is>
          <t>PHASE 4 — Probability Calibration  ← CORE RESEARCH CONTRIBUTION</t>
        </is>
      </c>
    </row>
    <row r="28" ht="16" customHeight="1">
      <c r="A28" s="27" t="inlineStr">
        <is>
          <t>P4-1</t>
        </is>
      </c>
      <c r="B28" s="27" t="inlineStr">
        <is>
          <t>Phase 4</t>
        </is>
      </c>
      <c r="C28" s="27" t="inlineStr">
        <is>
          <t>Create calibration split</t>
        </is>
      </c>
      <c r="D28" s="27" t="inlineStr">
        <is>
          <t>Hold out 20% of training data as calibration set (separate from test set)</t>
        </is>
      </c>
      <c r="E28" s="27" t="inlineStr">
        <is>
          <t>split.py</t>
        </is>
      </c>
      <c r="F28" s="27" t="n">
        <v>10</v>
      </c>
      <c r="G28" s="27" t="n">
        <v>2</v>
      </c>
      <c r="H28" s="23" t="inlineStr">
        <is>
          <t>CRITICAL</t>
        </is>
      </c>
      <c r="I28" s="28" t="inlineStr">
        <is>
          <t>Not Started</t>
        </is>
      </c>
      <c r="J28" s="29">
        <f>IF(I28="Done",G28,0)</f>
        <v/>
      </c>
      <c r="K28" s="27" t="inlineStr">
        <is>
          <t>Prerequisite for all calibration work</t>
        </is>
      </c>
    </row>
    <row r="29" ht="16" customHeight="1">
      <c r="A29" s="27" t="inlineStr">
        <is>
          <t>P4-2</t>
        </is>
      </c>
      <c r="B29" s="27" t="inlineStr">
        <is>
          <t>Phase 4</t>
        </is>
      </c>
      <c r="C29" s="27" t="inlineStr">
        <is>
          <t>Implement Temperature Scaling</t>
        </is>
      </c>
      <c r="D29" s="27" t="inlineStr">
        <is>
          <t>Fit optimal T on cal set via scipy.optimize NLL minimisation — the key research method</t>
        </is>
      </c>
      <c r="E29" s="27" t="inlineStr">
        <is>
          <t>calibrate.py (new)</t>
        </is>
      </c>
      <c r="F29" s="27" t="n">
        <v>40</v>
      </c>
      <c r="G29" s="27" t="n">
        <v>5</v>
      </c>
      <c r="H29" s="23" t="inlineStr">
        <is>
          <t>CRITICAL</t>
        </is>
      </c>
      <c r="I29" s="28" t="inlineStr">
        <is>
          <t>Not Started</t>
        </is>
      </c>
      <c r="J29" s="29">
        <f>IF(I29="Done",G29,0)</f>
        <v/>
      </c>
      <c r="K29" s="27" t="inlineStr">
        <is>
          <t>Single parameter, zero overfitting risk</t>
        </is>
      </c>
    </row>
    <row r="30" ht="16" customHeight="1">
      <c r="A30" s="27" t="inlineStr">
        <is>
          <t>P4-3</t>
        </is>
      </c>
      <c r="B30" s="27" t="inlineStr">
        <is>
          <t>Phase 4</t>
        </is>
      </c>
      <c r="C30" s="27" t="inlineStr">
        <is>
          <t>Implement Platt Scaling</t>
        </is>
      </c>
      <c r="D30" s="27" t="inlineStr">
        <is>
          <t>Per-class logistic regression on calibration set probabilities (OvR)</t>
        </is>
      </c>
      <c r="E30" s="27" t="inlineStr">
        <is>
          <t>calibrate.py</t>
        </is>
      </c>
      <c r="F30" s="27" t="n">
        <v>25</v>
      </c>
      <c r="G30" s="27" t="n">
        <v>2</v>
      </c>
      <c r="H30" s="24" t="inlineStr">
        <is>
          <t>High</t>
        </is>
      </c>
      <c r="I30" s="28" t="inlineStr">
        <is>
          <t>Not Started</t>
        </is>
      </c>
      <c r="J30" s="29">
        <f>IF(I30="Done",G30,0)</f>
        <v/>
      </c>
      <c r="K30" s="27" t="inlineStr">
        <is>
          <t>Comparison method</t>
        </is>
      </c>
    </row>
    <row r="31" ht="16" customHeight="1">
      <c r="A31" s="27" t="inlineStr">
        <is>
          <t>P4-4</t>
        </is>
      </c>
      <c r="B31" s="27" t="inlineStr">
        <is>
          <t>Phase 4</t>
        </is>
      </c>
      <c r="C31" s="27" t="inlineStr">
        <is>
          <t>Implement Isotonic Regression</t>
        </is>
      </c>
      <c r="D31" s="27" t="inlineStr">
        <is>
          <t>Per-class IsotonicRegression calibration (OvR, non-parametric)</t>
        </is>
      </c>
      <c r="E31" s="27" t="inlineStr">
        <is>
          <t>calibrate.py</t>
        </is>
      </c>
      <c r="F31" s="27" t="n">
        <v>20</v>
      </c>
      <c r="G31" s="27" t="n">
        <v>2</v>
      </c>
      <c r="H31" s="24" t="inlineStr">
        <is>
          <t>High</t>
        </is>
      </c>
      <c r="I31" s="28" t="inlineStr">
        <is>
          <t>Not Started</t>
        </is>
      </c>
      <c r="J31" s="29">
        <f>IF(I31="Done",G31,0)</f>
        <v/>
      </c>
      <c r="K31" s="27" t="inlineStr">
        <is>
          <t>Comparison method</t>
        </is>
      </c>
    </row>
    <row r="32" ht="16" customHeight="1">
      <c r="A32" s="27" t="inlineStr">
        <is>
          <t>P4-5</t>
        </is>
      </c>
      <c r="B32" s="27" t="inlineStr">
        <is>
          <t>Phase 4</t>
        </is>
      </c>
      <c r="C32" s="27" t="inlineStr">
        <is>
          <t>Compute ECE per class</t>
        </is>
      </c>
      <c r="D32" s="27" t="inlineStr">
        <is>
          <t>Implement compute_ece() for all 4 classes before and after each calibration method</t>
        </is>
      </c>
      <c r="E32" s="27" t="inlineStr">
        <is>
          <t>calibrate.py</t>
        </is>
      </c>
      <c r="F32" s="27" t="n">
        <v>30</v>
      </c>
      <c r="G32" s="27" t="n">
        <v>3</v>
      </c>
      <c r="H32" s="23" t="inlineStr">
        <is>
          <t>CRITICAL</t>
        </is>
      </c>
      <c r="I32" s="28" t="inlineStr">
        <is>
          <t>Not Started</t>
        </is>
      </c>
      <c r="J32" s="29">
        <f>IF(I32="Done",G32,0)</f>
        <v/>
      </c>
      <c r="K32" s="27" t="inlineStr">
        <is>
          <t>Primary calibration metric for paper</t>
        </is>
      </c>
    </row>
    <row r="33" ht="16" customHeight="1">
      <c r="A33" s="27" t="inlineStr">
        <is>
          <t>P4-6</t>
        </is>
      </c>
      <c r="B33" s="27" t="inlineStr">
        <is>
          <t>Phase 4</t>
        </is>
      </c>
      <c r="C33" s="27" t="inlineStr">
        <is>
          <t>Generate reliability diagrams</t>
        </is>
      </c>
      <c r="D33" s="27" t="inlineStr">
        <is>
          <t>4-panel reliability plot (pre + post calibration) using calibration_curve</t>
        </is>
      </c>
      <c r="E33" s="27" t="inlineStr">
        <is>
          <t>calibrate.py</t>
        </is>
      </c>
      <c r="F33" s="27" t="n">
        <v>30</v>
      </c>
      <c r="G33" s="27" t="n">
        <v>3</v>
      </c>
      <c r="H33" s="23" t="inlineStr">
        <is>
          <t>CRITICAL</t>
        </is>
      </c>
      <c r="I33" s="28" t="inlineStr">
        <is>
          <t>Not Started</t>
        </is>
      </c>
      <c r="J33" s="29">
        <f>IF(I33="Done",G33,0)</f>
        <v/>
      </c>
      <c r="K33" s="27" t="inlineStr">
        <is>
          <t>Primary research figure for paper</t>
        </is>
      </c>
    </row>
    <row r="34" ht="16" customHeight="1">
      <c r="A34" s="27" t="inlineStr">
        <is>
          <t>P4-7</t>
        </is>
      </c>
      <c r="B34" s="27" t="inlineStr">
        <is>
          <t>Phase 4</t>
        </is>
      </c>
      <c r="C34" s="27" t="inlineStr">
        <is>
          <t>Calibration comparison table</t>
        </is>
      </c>
      <c r="D34" s="27" t="inlineStr">
        <is>
          <t>Table: Uncalibrated vs Platt vs Isotonic vs Temperature — ECE per class + log-loss</t>
        </is>
      </c>
      <c r="E34" s="27" t="inlineStr">
        <is>
          <t>calibrate.py</t>
        </is>
      </c>
      <c r="F34" s="27" t="n">
        <v>20</v>
      </c>
      <c r="G34" s="27" t="n">
        <v>3</v>
      </c>
      <c r="H34" s="23" t="inlineStr">
        <is>
          <t>CRITICAL</t>
        </is>
      </c>
      <c r="I34" s="28" t="inlineStr">
        <is>
          <t>Not Started</t>
        </is>
      </c>
      <c r="J34" s="29">
        <f>IF(I34="Done",G34,0)</f>
        <v/>
      </c>
      <c r="K34" s="27" t="inlineStr">
        <is>
          <t>Key results table for paper</t>
        </is>
      </c>
    </row>
    <row r="35" ht="16" customHeight="1">
      <c r="A35" s="27" t="inlineStr">
        <is>
          <t>P4-8</t>
        </is>
      </c>
      <c r="B35" s="27" t="inlineStr">
        <is>
          <t>Phase 4</t>
        </is>
      </c>
      <c r="C35" s="27" t="inlineStr">
        <is>
          <t>Save calibration artifact</t>
        </is>
      </c>
      <c r="D35" s="27" t="inlineStr">
        <is>
          <t>Persist optimal T and method to calibration_params.pkl</t>
        </is>
      </c>
      <c r="E35" s="27" t="inlineStr">
        <is>
          <t>calibrate.py</t>
        </is>
      </c>
      <c r="F35" s="27" t="n">
        <v>5</v>
      </c>
      <c r="G35" s="27" t="n">
        <v>1</v>
      </c>
      <c r="H35" s="24" t="inlineStr">
        <is>
          <t>High</t>
        </is>
      </c>
      <c r="I35" s="28" t="inlineStr">
        <is>
          <t>Not Started</t>
        </is>
      </c>
      <c r="J35" s="29">
        <f>IF(I35="Done",G35,0)</f>
        <v/>
      </c>
      <c r="K35" s="27" t="inlineStr"/>
    </row>
    <row r="36" ht="16" customHeight="1">
      <c r="A36" s="27" t="inlineStr">
        <is>
          <t>P4-9</t>
        </is>
      </c>
      <c r="B36" s="27" t="inlineStr">
        <is>
          <t>Phase 4</t>
        </is>
      </c>
      <c r="C36" s="27" t="inlineStr">
        <is>
          <t>Apply calibration in app.py</t>
        </is>
      </c>
      <c r="D36" s="27" t="inlineStr">
        <is>
          <t>Load calibration_params.pkl and apply temperature_scale() before displaying probs</t>
        </is>
      </c>
      <c r="E36" s="27" t="inlineStr">
        <is>
          <t>app.py</t>
        </is>
      </c>
      <c r="F36" s="27" t="n">
        <v>20</v>
      </c>
      <c r="G36" s="27" t="n">
        <v>3</v>
      </c>
      <c r="H36" s="23" t="inlineStr">
        <is>
          <t>CRITICAL</t>
        </is>
      </c>
      <c r="I36" s="28" t="inlineStr">
        <is>
          <t>Not Started</t>
        </is>
      </c>
      <c r="J36" s="29">
        <f>IF(I36="Done",G36,0)</f>
        <v/>
      </c>
      <c r="K36" s="27" t="inlineStr">
        <is>
          <t>Currently shows raw uncalibrated outputs</t>
        </is>
      </c>
    </row>
    <row r="37" ht="20" customHeight="1">
      <c r="A37" s="26" t="inlineStr">
        <is>
          <t>PHASE 5 — Model Evaluation</t>
        </is>
      </c>
    </row>
    <row r="38" ht="16" customHeight="1">
      <c r="A38" s="27" t="inlineStr">
        <is>
          <t>P5-1</t>
        </is>
      </c>
      <c r="B38" s="27" t="inlineStr">
        <is>
          <t>Phase 5</t>
        </is>
      </c>
      <c r="C38" s="27" t="inlineStr">
        <is>
          <t>Rewrite evaluate_model.py — use test set</t>
        </is>
      </c>
      <c r="D38" s="27" t="inlineStr">
        <is>
          <t>CRITICAL: Load X_test.pkl (never seen by model). All current metrics are in-sample/invalid</t>
        </is>
      </c>
      <c r="E38" s="27" t="inlineStr">
        <is>
          <t>evaluate_model.py</t>
        </is>
      </c>
      <c r="F38" s="27" t="n">
        <v>20</v>
      </c>
      <c r="G38" s="27" t="n">
        <v>5</v>
      </c>
      <c r="H38" s="23" t="inlineStr">
        <is>
          <t>CRITICAL</t>
        </is>
      </c>
      <c r="I38" s="28" t="inlineStr">
        <is>
          <t>Not Started</t>
        </is>
      </c>
      <c r="J38" s="29">
        <f>IF(I38="Done",G38,0)</f>
        <v/>
      </c>
      <c r="K38" s="27" t="inlineStr">
        <is>
          <t>Single most important evaluation fix</t>
        </is>
      </c>
    </row>
    <row r="39" ht="16" customHeight="1">
      <c r="A39" s="27" t="inlineStr">
        <is>
          <t>P5-2</t>
        </is>
      </c>
      <c r="B39" s="27" t="inlineStr">
        <is>
          <t>Phase 5</t>
        </is>
      </c>
      <c r="C39" s="27" t="inlineStr">
        <is>
          <t>Add per-class AUC-ROC curves</t>
        </is>
      </c>
      <c r="D39" s="27" t="inlineStr">
        <is>
          <t>One-vs-Rest ROC curves for all 4 classes, save PNG</t>
        </is>
      </c>
      <c r="E39" s="27" t="inlineStr">
        <is>
          <t>evaluate_model.py</t>
        </is>
      </c>
      <c r="F39" s="27" t="n">
        <v>25</v>
      </c>
      <c r="G39" s="27" t="n">
        <v>3</v>
      </c>
      <c r="H39" s="24" t="inlineStr">
        <is>
          <t>High</t>
        </is>
      </c>
      <c r="I39" s="28" t="inlineStr">
        <is>
          <t>Not Started</t>
        </is>
      </c>
      <c r="J39" s="29">
        <f>IF(I39="Done",G39,0)</f>
        <v/>
      </c>
      <c r="K39" s="27" t="inlineStr"/>
    </row>
    <row r="40" ht="16" customHeight="1">
      <c r="A40" s="27" t="inlineStr">
        <is>
          <t>P5-3</t>
        </is>
      </c>
      <c r="B40" s="27" t="inlineStr">
        <is>
          <t>Phase 5</t>
        </is>
      </c>
      <c r="C40" s="27" t="inlineStr">
        <is>
          <t>Add Precision-Recall curves</t>
        </is>
      </c>
      <c r="D40" s="27" t="inlineStr">
        <is>
          <t>PR curves per class (more informative than ROC for imbalanced data), save PNG</t>
        </is>
      </c>
      <c r="E40" s="27" t="inlineStr">
        <is>
          <t>evaluate_model.py</t>
        </is>
      </c>
      <c r="F40" s="27" t="n">
        <v>20</v>
      </c>
      <c r="G40" s="27" t="n">
        <v>2</v>
      </c>
      <c r="H40" s="24" t="inlineStr">
        <is>
          <t>High</t>
        </is>
      </c>
      <c r="I40" s="28" t="inlineStr">
        <is>
          <t>Not Started</t>
        </is>
      </c>
      <c r="J40" s="29">
        <f>IF(I40="Done",G40,0)</f>
        <v/>
      </c>
      <c r="K40" s="27" t="inlineStr"/>
    </row>
    <row r="41" ht="16" customHeight="1">
      <c r="A41" s="27" t="inlineStr">
        <is>
          <t>P5-4</t>
        </is>
      </c>
      <c r="B41" s="27" t="inlineStr">
        <is>
          <t>Phase 5</t>
        </is>
      </c>
      <c r="C41" s="27" t="inlineStr">
        <is>
          <t>Add Brier Score</t>
        </is>
      </c>
      <c r="D41" s="27" t="inlineStr">
        <is>
          <t>Multi-class Brier score — gold standard for probabilistic classifiers</t>
        </is>
      </c>
      <c r="E41" s="27" t="inlineStr">
        <is>
          <t>evaluate_model.py</t>
        </is>
      </c>
      <c r="F41" s="27" t="n">
        <v>10</v>
      </c>
      <c r="G41" s="27" t="n">
        <v>1</v>
      </c>
      <c r="H41" s="24" t="inlineStr">
        <is>
          <t>High</t>
        </is>
      </c>
      <c r="I41" s="28" t="inlineStr">
        <is>
          <t>Not Started</t>
        </is>
      </c>
      <c r="J41" s="29">
        <f>IF(I41="Done",G41,0)</f>
        <v/>
      </c>
      <c r="K41" s="27" t="inlineStr"/>
    </row>
    <row r="42" ht="16" customHeight="1">
      <c r="A42" s="27" t="inlineStr">
        <is>
          <t>P5-5</t>
        </is>
      </c>
      <c r="B42" s="27" t="inlineStr">
        <is>
          <t>Phase 5</t>
        </is>
      </c>
      <c r="C42" s="27" t="inlineStr">
        <is>
          <t>SHAP feature importance analysis</t>
        </is>
      </c>
      <c r="D42" s="27" t="inlineStr">
        <is>
          <t>shap.TreeExplainer — summary plots per class + waterfall for single prediction</t>
        </is>
      </c>
      <c r="E42" s="27" t="inlineStr">
        <is>
          <t>evaluate_model.py</t>
        </is>
      </c>
      <c r="F42" s="27" t="n">
        <v>30</v>
      </c>
      <c r="G42" s="27" t="n">
        <v>4</v>
      </c>
      <c r="H42" s="24" t="inlineStr">
        <is>
          <t>High</t>
        </is>
      </c>
      <c r="I42" s="28" t="inlineStr">
        <is>
          <t>Not Started</t>
        </is>
      </c>
      <c r="J42" s="29">
        <f>IF(I42="Done",G42,0)</f>
        <v/>
      </c>
      <c r="K42" s="27" t="inlineStr">
        <is>
          <t>Required for interpretability</t>
        </is>
      </c>
    </row>
    <row r="43" ht="16" customHeight="1">
      <c r="A43" s="27" t="inlineStr">
        <is>
          <t>P5-6</t>
        </is>
      </c>
      <c r="B43" s="27" t="inlineStr">
        <is>
          <t>Phase 5</t>
        </is>
      </c>
      <c r="C43" s="27" t="inlineStr">
        <is>
          <t>Export results to files</t>
        </is>
      </c>
      <c r="D43" s="27" t="inlineStr">
        <is>
          <t>Save classification_report, confusion_matrix, calibration_table to CSV/PNG</t>
        </is>
      </c>
      <c r="E43" s="27" t="inlineStr">
        <is>
          <t>evaluate_model.py</t>
        </is>
      </c>
      <c r="F43" s="27" t="n">
        <v>15</v>
      </c>
      <c r="G43" s="27" t="n">
        <v>1</v>
      </c>
      <c r="H43" s="30" t="inlineStr">
        <is>
          <t>Medium</t>
        </is>
      </c>
      <c r="I43" s="28" t="inlineStr">
        <is>
          <t>Not Started</t>
        </is>
      </c>
      <c r="J43" s="29">
        <f>IF(I43="Done",G43,0)</f>
        <v/>
      </c>
      <c r="K43" s="27" t="inlineStr">
        <is>
          <t>Paper needs persistent tables</t>
        </is>
      </c>
    </row>
    <row r="44" ht="20" customHeight="1">
      <c r="A44" s="26" t="inlineStr">
        <is>
          <t>PHASE 6 — Real-Time Application</t>
        </is>
      </c>
    </row>
    <row r="45" ht="16" customHeight="1">
      <c r="A45" s="27" t="inlineStr">
        <is>
          <t>P6-1</t>
        </is>
      </c>
      <c r="B45" s="27" t="inlineStr">
        <is>
          <t>Phase 6</t>
        </is>
      </c>
      <c r="C45" s="27" t="inlineStr">
        <is>
          <t>Add cabin class labels</t>
        </is>
      </c>
      <c r="D45" s="27" t="inlineStr">
        <is>
          <t>M (Economy), W (Premium Eco), C (Business), F (First) in dropdown</t>
        </is>
      </c>
      <c r="E45" s="27" t="inlineStr">
        <is>
          <t>app.py</t>
        </is>
      </c>
      <c r="F45" s="27" t="n">
        <v>5</v>
      </c>
      <c r="G45" s="27" t="n">
        <v>0.5</v>
      </c>
      <c r="H45" s="31" t="inlineStr">
        <is>
          <t>Low</t>
        </is>
      </c>
      <c r="I45" s="28" t="inlineStr">
        <is>
          <t>Not Started</t>
        </is>
      </c>
      <c r="J45" s="29">
        <f>IF(I45="Done",G45,0)</f>
        <v/>
      </c>
      <c r="K45" s="27" t="inlineStr">
        <is>
          <t>UX improvement</t>
        </is>
      </c>
    </row>
    <row r="46" ht="16" customHeight="1">
      <c r="A46" s="27" t="inlineStr">
        <is>
          <t>P6-2</t>
        </is>
      </c>
      <c r="B46" s="27" t="inlineStr">
        <is>
          <t>Phase 6</t>
        </is>
      </c>
      <c r="C46" s="27" t="inlineStr">
        <is>
          <t>Add input validation</t>
        </is>
      </c>
      <c r="D46" s="27" t="inlineStr">
        <is>
          <t>Block origin == destination; add date min_value constraints</t>
        </is>
      </c>
      <c r="E46" s="27" t="inlineStr">
        <is>
          <t>app.py</t>
        </is>
      </c>
      <c r="F46" s="27" t="n">
        <v>10</v>
      </c>
      <c r="G46" s="27" t="n">
        <v>0.5</v>
      </c>
      <c r="H46" s="30" t="inlineStr">
        <is>
          <t>Medium</t>
        </is>
      </c>
      <c r="I46" s="28" t="inlineStr">
        <is>
          <t>Not Started</t>
        </is>
      </c>
      <c r="J46" s="29">
        <f>IF(I46="Done",G46,0)</f>
        <v/>
      </c>
      <c r="K46" s="27" t="inlineStr"/>
    </row>
    <row r="47" ht="16" customHeight="1">
      <c r="A47" s="27" t="inlineStr">
        <is>
          <t>P6-3</t>
        </is>
      </c>
      <c r="B47" s="27" t="inlineStr">
        <is>
          <t>Phase 6</t>
        </is>
      </c>
      <c r="C47" s="27" t="inlineStr">
        <is>
          <t>Add baseline reference to chart</t>
        </is>
      </c>
      <c r="D47" s="27" t="inlineStr">
        <is>
          <t>Horizontal line at 0.25 (random chance) and training prior on probability bar chart</t>
        </is>
      </c>
      <c r="E47" s="27" t="inlineStr">
        <is>
          <t>app.py</t>
        </is>
      </c>
      <c r="F47" s="27" t="n">
        <v>8</v>
      </c>
      <c r="G47" s="27" t="n">
        <v>0.5</v>
      </c>
      <c r="H47" s="30" t="inlineStr">
        <is>
          <t>Medium</t>
        </is>
      </c>
      <c r="I47" s="28" t="inlineStr">
        <is>
          <t>Not Started</t>
        </is>
      </c>
      <c r="J47" s="29">
        <f>IF(I47="Done",G47,0)</f>
        <v/>
      </c>
      <c r="K47" s="27" t="inlineStr"/>
    </row>
    <row r="48" ht="16" customHeight="1">
      <c r="A48" s="27" t="inlineStr">
        <is>
          <t>P6-4</t>
        </is>
      </c>
      <c r="B48" s="27" t="inlineStr">
        <is>
          <t>Phase 6</t>
        </is>
      </c>
      <c r="C48" s="27" t="inlineStr">
        <is>
          <t>Add SHAP local explanation in app</t>
        </is>
      </c>
      <c r="D48" s="27" t="inlineStr">
        <is>
          <t>Waterfall SHAP plot explaining why the specific prediction was made</t>
        </is>
      </c>
      <c r="E48" s="27" t="inlineStr">
        <is>
          <t>app.py</t>
        </is>
      </c>
      <c r="F48" s="27" t="n">
        <v>20</v>
      </c>
      <c r="G48" s="27" t="n">
        <v>2</v>
      </c>
      <c r="H48" s="24" t="inlineStr">
        <is>
          <t>High</t>
        </is>
      </c>
      <c r="I48" s="28" t="inlineStr">
        <is>
          <t>Not Started</t>
        </is>
      </c>
      <c r="J48" s="29">
        <f>IF(I48="Done",G48,0)</f>
        <v/>
      </c>
      <c r="K48" s="27" t="inlineStr">
        <is>
          <t>Transforms demo from black-box to explainable</t>
        </is>
      </c>
    </row>
    <row r="49" ht="16" customHeight="1">
      <c r="A49" s="27" t="inlineStr">
        <is>
          <t>P6-5</t>
        </is>
      </c>
      <c r="B49" s="27" t="inlineStr">
        <is>
          <t>Phase 6</t>
        </is>
      </c>
      <c r="C49" s="27" t="inlineStr">
        <is>
          <t>Display model metadata in sidebar</t>
        </is>
      </c>
      <c r="D49" s="27" t="inlineStr">
        <is>
          <t>Show model version, training date, CV scores from model_metadata.json</t>
        </is>
      </c>
      <c r="E49" s="27" t="inlineStr">
        <is>
          <t>app.py</t>
        </is>
      </c>
      <c r="F49" s="27" t="n">
        <v>15</v>
      </c>
      <c r="G49" s="27" t="n">
        <v>1</v>
      </c>
      <c r="H49" s="30" t="inlineStr">
        <is>
          <t>Medium</t>
        </is>
      </c>
      <c r="I49" s="28" t="inlineStr">
        <is>
          <t>Not Started</t>
        </is>
      </c>
      <c r="J49" s="29">
        <f>IF(I49="Done",G49,0)</f>
        <v/>
      </c>
      <c r="K49" s="27" t="inlineStr"/>
    </row>
    <row r="50" ht="16" customHeight="1">
      <c r="A50" s="27" t="inlineStr">
        <is>
          <t>P6-6</t>
        </is>
      </c>
      <c r="B50" s="27" t="inlineStr">
        <is>
          <t>Phase 6</t>
        </is>
      </c>
      <c r="C50" s="27" t="inlineStr">
        <is>
          <t>Add calibration note/disclaimer to UI</t>
        </is>
      </c>
      <c r="D50" s="27" t="inlineStr">
        <is>
          <t>State that probabilities are temperature-scaled calibrated outputs</t>
        </is>
      </c>
      <c r="E50" s="27" t="inlineStr">
        <is>
          <t>app.py</t>
        </is>
      </c>
      <c r="F50" s="27" t="n">
        <v>3</v>
      </c>
      <c r="G50" s="27" t="n">
        <v>0.5</v>
      </c>
      <c r="H50" s="24" t="inlineStr">
        <is>
          <t>High</t>
        </is>
      </c>
      <c r="I50" s="28" t="inlineStr">
        <is>
          <t>Not Started</t>
        </is>
      </c>
      <c r="J50" s="29">
        <f>IF(I50="Done",G50,0)</f>
        <v/>
      </c>
      <c r="K50" s="27" t="inlineStr">
        <is>
          <t>Academic honesty — title says Calibrated</t>
        </is>
      </c>
    </row>
    <row r="51" ht="20" customHeight="1">
      <c r="A51" s="26" t="inlineStr">
        <is>
          <t>PHASE 7 — MLOps</t>
        </is>
      </c>
    </row>
    <row r="52" ht="16" customHeight="1">
      <c r="A52" s="27" t="inlineStr">
        <is>
          <t>P7-1</t>
        </is>
      </c>
      <c r="B52" s="27" t="inlineStr">
        <is>
          <t>Phase 7</t>
        </is>
      </c>
      <c r="C52" s="27" t="inlineStr">
        <is>
          <t>Replace print() with logging</t>
        </is>
      </c>
      <c r="D52" s="27" t="inlineStr">
        <is>
          <t>import logging; replace all print() with logging.info() / logging.warning()</t>
        </is>
      </c>
      <c r="E52" s="27" t="inlineStr">
        <is>
          <t>All .py files</t>
        </is>
      </c>
      <c r="F52" s="27" t="n">
        <v>30</v>
      </c>
      <c r="G52" s="27" t="n">
        <v>1</v>
      </c>
      <c r="H52" s="30" t="inlineStr">
        <is>
          <t>Medium</t>
        </is>
      </c>
      <c r="I52" s="28" t="inlineStr">
        <is>
          <t>Not Started</t>
        </is>
      </c>
      <c r="J52" s="29">
        <f>IF(I52="Done",G52,0)</f>
        <v/>
      </c>
      <c r="K52" s="27" t="inlineStr"/>
    </row>
    <row r="53" ht="16" customHeight="1">
      <c r="A53" s="27" t="inlineStr">
        <is>
          <t>P7-2</t>
        </is>
      </c>
      <c r="B53" s="27" t="inlineStr">
        <is>
          <t>Phase 7</t>
        </is>
      </c>
      <c r="C53" s="27" t="inlineStr">
        <is>
          <t>Write model card</t>
        </is>
      </c>
      <c r="D53" s="27" t="inlineStr">
        <is>
          <t>Document: version, training data stats, performance, known limitations</t>
        </is>
      </c>
      <c r="E53" s="27" t="inlineStr">
        <is>
          <t>model_card.md (new)</t>
        </is>
      </c>
      <c r="F53" s="27" t="n">
        <v>60</v>
      </c>
      <c r="G53" s="27" t="n">
        <v>1</v>
      </c>
      <c r="H53" s="30" t="inlineStr">
        <is>
          <t>Medium</t>
        </is>
      </c>
      <c r="I53" s="28" t="inlineStr">
        <is>
          <t>Not Started</t>
        </is>
      </c>
      <c r="J53" s="29">
        <f>IF(I53="Done",G53,0)</f>
        <v/>
      </c>
      <c r="K53" s="27" t="inlineStr"/>
    </row>
    <row r="54" ht="16" customHeight="1">
      <c r="A54" s="27" t="inlineStr">
        <is>
          <t>P7-3</t>
        </is>
      </c>
      <c r="B54" s="27" t="inlineStr">
        <is>
          <t>Phase 7</t>
        </is>
      </c>
      <c r="C54" s="27" t="inlineStr">
        <is>
          <t>Pin Python/package versions</t>
        </is>
      </c>
      <c r="D54" s="27" t="inlineStr">
        <is>
          <t>Add python_requires and version pins to requirements.txt</t>
        </is>
      </c>
      <c r="E54" s="27" t="inlineStr">
        <is>
          <t>requirements.txt</t>
        </is>
      </c>
      <c r="F54" s="27" t="n">
        <v>10</v>
      </c>
      <c r="G54" s="27" t="n">
        <v>0.5</v>
      </c>
      <c r="H54" s="31" t="inlineStr">
        <is>
          <t>Low</t>
        </is>
      </c>
      <c r="I54" s="28" t="inlineStr">
        <is>
          <t>Not Started</t>
        </is>
      </c>
      <c r="J54" s="29">
        <f>IF(I54="Done",G54,0)</f>
        <v/>
      </c>
      <c r="K54" s="27" t="inlineStr"/>
    </row>
    <row r="55" ht="16" customHeight="1">
      <c r="A55" s="27" t="inlineStr">
        <is>
          <t>P7-4</t>
        </is>
      </c>
      <c r="B55" s="27" t="inlineStr">
        <is>
          <t>Phase 7</t>
        </is>
      </c>
      <c r="C55" s="27" t="inlineStr">
        <is>
          <t>Add training-serving skew test</t>
        </is>
      </c>
      <c r="D55" s="27" t="inlineStr">
        <is>
          <t>Assert feature value ranges at inference match training distributions</t>
        </is>
      </c>
      <c r="E55" s="27" t="inlineStr">
        <is>
          <t>app.py</t>
        </is>
      </c>
      <c r="F55" s="27" t="n">
        <v>15</v>
      </c>
      <c r="G55" s="27" t="n">
        <v>0.5</v>
      </c>
      <c r="H55" s="30" t="inlineStr">
        <is>
          <t>Medium</t>
        </is>
      </c>
      <c r="I55" s="28" t="inlineStr">
        <is>
          <t>Not Started</t>
        </is>
      </c>
      <c r="J55" s="29">
        <f>IF(I55="Done",G55,0)</f>
        <v/>
      </c>
      <c r="K55" s="27" t="inlineStr"/>
    </row>
    <row r="56" ht="20" customHeight="1">
      <c r="A56" s="26" t="inlineStr">
        <is>
          <t>PHASE 8 — Experiments &amp; Research Paper</t>
        </is>
      </c>
    </row>
    <row r="57" ht="16" customHeight="1">
      <c r="A57" s="27" t="inlineStr">
        <is>
          <t>P8-1</t>
        </is>
      </c>
      <c r="B57" s="27" t="inlineStr">
        <is>
          <t>Phase 8</t>
        </is>
      </c>
      <c r="C57" s="27" t="inlineStr">
        <is>
          <t>Exp E-D6.1: Algorithm comparison</t>
        </is>
      </c>
      <c r="D57" s="27" t="inlineStr">
        <is>
          <t>Run and document LR vs RF vs LightGBM vs CatBoost — log-loss, macro-F1, PM-F1, AUC</t>
        </is>
      </c>
      <c r="E57" s="27" t="inlineStr">
        <is>
          <t>experiments/algo_comparison.py (new)</t>
        </is>
      </c>
      <c r="F57" s="27" t="n">
        <v>80</v>
      </c>
      <c r="G57" s="27" t="n">
        <v>3</v>
      </c>
      <c r="H57" s="23" t="inlineStr">
        <is>
          <t>CRITICAL</t>
        </is>
      </c>
      <c r="I57" s="28" t="inlineStr">
        <is>
          <t>Not Started</t>
        </is>
      </c>
      <c r="J57" s="29">
        <f>IF(I57="Done",G57,0)</f>
        <v/>
      </c>
      <c r="K57" s="27" t="inlineStr">
        <is>
          <t>Justifies CatBoost selection</t>
        </is>
      </c>
    </row>
    <row r="58" ht="16" customHeight="1">
      <c r="A58" s="27" t="inlineStr">
        <is>
          <t>P8-2</t>
        </is>
      </c>
      <c r="B58" s="27" t="inlineStr">
        <is>
          <t>Phase 8</t>
        </is>
      </c>
      <c r="C58" s="27" t="inlineStr">
        <is>
          <t>Exp E-D8.1: Calibration method comparison</t>
        </is>
      </c>
      <c r="D58" s="27" t="inlineStr">
        <is>
          <t>Platt vs Isotonic vs Temperature vs Dirichlet — ECE + AUC tradeoff table</t>
        </is>
      </c>
      <c r="E58" s="27" t="inlineStr">
        <is>
          <t>experiments/calibration_exp.py (new)</t>
        </is>
      </c>
      <c r="F58" s="27" t="n">
        <v>60</v>
      </c>
      <c r="G58" s="27" t="n">
        <v>3</v>
      </c>
      <c r="H58" s="23" t="inlineStr">
        <is>
          <t>CRITICAL</t>
        </is>
      </c>
      <c r="I58" s="28" t="inlineStr">
        <is>
          <t>Not Started</t>
        </is>
      </c>
      <c r="J58" s="29">
        <f>IF(I58="Done",G58,0)</f>
        <v/>
      </c>
      <c r="K58" s="27" t="inlineStr">
        <is>
          <t>Core research experiment</t>
        </is>
      </c>
    </row>
    <row r="59" ht="16" customHeight="1">
      <c r="A59" s="27" t="inlineStr">
        <is>
          <t>P8-3</t>
        </is>
      </c>
      <c r="B59" s="27" t="inlineStr">
        <is>
          <t>Phase 8</t>
        </is>
      </c>
      <c r="C59" s="27" t="inlineStr">
        <is>
          <t>Exp E-D5.1: Imbalance strategy</t>
        </is>
      </c>
      <c r="D59" s="27" t="inlineStr">
        <is>
          <t>auto_balanced vs SMOTE vs custom_weights(2.5x PM) comparison</t>
        </is>
      </c>
      <c r="E59" s="27" t="inlineStr">
        <is>
          <t>experiments/imbalance_exp.py (new)</t>
        </is>
      </c>
      <c r="F59" s="27" t="n">
        <v>50</v>
      </c>
      <c r="G59" s="27" t="n">
        <v>1</v>
      </c>
      <c r="H59" s="30" t="inlineStr">
        <is>
          <t>Medium</t>
        </is>
      </c>
      <c r="I59" s="28" t="inlineStr">
        <is>
          <t>Not Started</t>
        </is>
      </c>
      <c r="J59" s="29">
        <f>IF(I59="Done",G59,0)</f>
        <v/>
      </c>
      <c r="K59" s="27" t="inlineStr"/>
    </row>
    <row r="60" ht="16" customHeight="1">
      <c r="A60" s="27" t="inlineStr">
        <is>
          <t>P8-4</t>
        </is>
      </c>
      <c r="B60" s="27" t="inlineStr">
        <is>
          <t>Phase 8</t>
        </is>
      </c>
      <c r="C60" s="27" t="inlineStr">
        <is>
          <t>Exp E-D2.3: Feature ablation</t>
        </is>
      </c>
      <c r="D60" s="27" t="inlineStr">
        <is>
          <t>With/without interaction features — measure delta log-loss per interaction added</t>
        </is>
      </c>
      <c r="E60" s="27" t="inlineStr">
        <is>
          <t>experiments/feature_ablation.py (new)</t>
        </is>
      </c>
      <c r="F60" s="27" t="n">
        <v>40</v>
      </c>
      <c r="G60" s="27" t="n">
        <v>2</v>
      </c>
      <c r="H60" s="24" t="inlineStr">
        <is>
          <t>High</t>
        </is>
      </c>
      <c r="I60" s="28" t="inlineStr">
        <is>
          <t>Not Started</t>
        </is>
      </c>
      <c r="J60" s="29">
        <f>IF(I60="Done",G60,0)</f>
        <v/>
      </c>
      <c r="K60" s="27" t="inlineStr"/>
    </row>
    <row r="61" ht="16" customHeight="1">
      <c r="A61" s="27" t="inlineStr">
        <is>
          <t>P8-5</t>
        </is>
      </c>
      <c r="B61" s="27" t="inlineStr">
        <is>
          <t>Phase 8</t>
        </is>
      </c>
      <c r="C61" s="27" t="inlineStr">
        <is>
          <t>Exp E-D4.2: CV fold count</t>
        </is>
      </c>
      <c r="D61" s="27" t="inlineStr">
        <is>
          <t>Compare K=3,5,10 — stability of log-loss std across folds</t>
        </is>
      </c>
      <c r="E61" s="27" t="inlineStr">
        <is>
          <t>experiments/cv_folds_exp.py (new)</t>
        </is>
      </c>
      <c r="F61" s="27" t="n">
        <v>30</v>
      </c>
      <c r="G61" s="27" t="n">
        <v>1</v>
      </c>
      <c r="H61" s="31" t="inlineStr">
        <is>
          <t>Low</t>
        </is>
      </c>
      <c r="I61" s="28" t="inlineStr">
        <is>
          <t>Not Started</t>
        </is>
      </c>
      <c r="J61" s="29">
        <f>IF(I61="Done",G61,0)</f>
        <v/>
      </c>
      <c r="K61" s="27" t="inlineStr"/>
    </row>
  </sheetData>
  <mergeCells count="9">
    <mergeCell ref="A20:K20"/>
    <mergeCell ref="A7:K7"/>
    <mergeCell ref="A2:K2"/>
    <mergeCell ref="A51:K51"/>
    <mergeCell ref="A14:K14"/>
    <mergeCell ref="A44:K44"/>
    <mergeCell ref="A37:K37"/>
    <mergeCell ref="A56:K56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4" customWidth="1" min="4" max="4"/>
    <col width="25" customWidth="1" min="5" max="5"/>
    <col width="12" customWidth="1" min="6" max="6"/>
    <col width="14" customWidth="1" min="7" max="7"/>
  </cols>
  <sheetData>
    <row r="1" ht="28" customHeight="1">
      <c r="A1" s="32" t="inlineStr">
        <is>
          <t>MARK RECOVERY PLAN  —  From 26/100 → 80+/100</t>
        </is>
      </c>
    </row>
    <row r="2" ht="8" customHeight="1"/>
    <row r="3" ht="30" customHeight="1">
      <c r="A3" s="33" t="inlineStr">
        <is>
          <t>Milestone</t>
        </is>
      </c>
      <c r="B3" s="33" t="inlineStr">
        <is>
          <t>Tasks Included</t>
        </is>
      </c>
      <c r="C3" s="33" t="inlineStr">
        <is>
          <t>Marks
Recovered</t>
        </is>
      </c>
      <c r="D3" s="33" t="inlineStr">
        <is>
          <t>Cumulative
Mark</t>
        </is>
      </c>
      <c r="E3" s="33" t="inlineStr">
        <is>
          <t>Grade Band</t>
        </is>
      </c>
      <c r="F3" s="33" t="inlineStr">
        <is>
          <t>Effort
(Hours)</t>
        </is>
      </c>
      <c r="G3" s="33" t="inlineStr">
        <is>
          <t>Status</t>
        </is>
      </c>
    </row>
    <row r="4" ht="36" customHeight="1">
      <c r="A4" s="34" t="inlineStr">
        <is>
          <t>STARTING POINT</t>
        </is>
      </c>
      <c r="B4" s="34" t="inlineStr">
        <is>
          <t>Current submitted code</t>
        </is>
      </c>
      <c r="C4" s="34" t="inlineStr">
        <is>
          <t>0</t>
        </is>
      </c>
      <c r="D4" s="35" t="inlineStr">
        <is>
          <t>26</t>
        </is>
      </c>
      <c r="E4" s="34" t="inlineStr">
        <is>
          <t>FAIL  (below 40)</t>
        </is>
      </c>
      <c r="F4" s="34" t="inlineStr">
        <is>
          <t>—</t>
        </is>
      </c>
      <c r="G4" s="34" t="inlineStr">
        <is>
          <t>Current</t>
        </is>
      </c>
    </row>
    <row r="5" ht="36" customHeight="1">
      <c r="A5" s="34" t="inlineStr">
        <is>
          <t>Milestone 1:
Fix Critical Bugs</t>
        </is>
      </c>
      <c r="B5" s="34" t="inlineStr">
        <is>
          <t>P1-1, P1-4, P0-4, P3-2</t>
        </is>
      </c>
      <c r="C5" s="34" t="inlineStr">
        <is>
          <t>7</t>
        </is>
      </c>
      <c r="D5" s="35" t="inlineStr">
        <is>
          <t>33</t>
        </is>
      </c>
      <c r="E5" s="34" t="inlineStr">
        <is>
          <t>FAIL  (approaching pass)</t>
        </is>
      </c>
      <c r="F5" s="34" t="inlineStr">
        <is>
          <t>1 hour</t>
        </is>
      </c>
      <c r="G5" s="34" t="inlineStr">
        <is>
          <t>Not Started</t>
        </is>
      </c>
    </row>
    <row r="6" ht="36" customHeight="1">
      <c r="A6" s="36" t="inlineStr">
        <is>
          <t>Milestone 2:
Valid Evaluation Foundation</t>
        </is>
      </c>
      <c r="B6" s="36" t="inlineStr">
        <is>
          <t>P3-1, P5-1, P1-2, P1-3</t>
        </is>
      </c>
      <c r="C6" s="36" t="inlineStr">
        <is>
          <t>11</t>
        </is>
      </c>
      <c r="D6" s="37" t="inlineStr">
        <is>
          <t>44</t>
        </is>
      </c>
      <c r="E6" s="36" t="inlineStr">
        <is>
          <t>THIRD CLASS  (Pass)</t>
        </is>
      </c>
      <c r="F6" s="36" t="inlineStr">
        <is>
          <t>4 hours</t>
        </is>
      </c>
      <c r="G6" s="36" t="inlineStr">
        <is>
          <t>Not Started</t>
        </is>
      </c>
    </row>
    <row r="7" ht="36" customHeight="1">
      <c r="A7" s="38" t="inlineStr">
        <is>
          <t>Milestone 3:
Core Research Contribution</t>
        </is>
      </c>
      <c r="B7" s="38" t="inlineStr">
        <is>
          <t>P4-1, P4-2, P4-5, P4-6, P4-9</t>
        </is>
      </c>
      <c r="C7" s="38" t="inlineStr">
        <is>
          <t>16</t>
        </is>
      </c>
      <c r="D7" s="39" t="inlineStr">
        <is>
          <t>60</t>
        </is>
      </c>
      <c r="E7" s="38" t="inlineStr">
        <is>
          <t>LOWER SECOND  (2:2)</t>
        </is>
      </c>
      <c r="F7" s="38" t="inlineStr">
        <is>
          <t>8 hours</t>
        </is>
      </c>
      <c r="G7" s="38" t="inlineStr">
        <is>
          <t>Not Started</t>
        </is>
      </c>
    </row>
    <row r="8" ht="36" customHeight="1">
      <c r="A8" s="40" t="inlineStr">
        <is>
          <t>Milestone 4:
Comparative Evidence</t>
        </is>
      </c>
      <c r="B8" s="40" t="inlineStr">
        <is>
          <t>P3-6, P8-1, P8-2, P4-3, P4-4</t>
        </is>
      </c>
      <c r="C8" s="40" t="inlineStr">
        <is>
          <t>10</t>
        </is>
      </c>
      <c r="D8" s="41" t="inlineStr">
        <is>
          <t>70</t>
        </is>
      </c>
      <c r="E8" s="40" t="inlineStr">
        <is>
          <t>UPPER SECOND  (2:1)</t>
        </is>
      </c>
      <c r="F8" s="40" t="inlineStr">
        <is>
          <t>10 hours</t>
        </is>
      </c>
      <c r="G8" s="40" t="inlineStr">
        <is>
          <t>Not Started</t>
        </is>
      </c>
    </row>
    <row r="9" ht="36" customHeight="1">
      <c r="A9" s="40" t="inlineStr">
        <is>
          <t>Milestone 5:
Evaluation Depth</t>
        </is>
      </c>
      <c r="B9" s="40" t="inlineStr">
        <is>
          <t>P5-2, P5-3, P5-4, P5-5, P4-7</t>
        </is>
      </c>
      <c r="C9" s="40" t="inlineStr">
        <is>
          <t>9</t>
        </is>
      </c>
      <c r="D9" s="41" t="inlineStr">
        <is>
          <t>79</t>
        </is>
      </c>
      <c r="E9" s="40" t="inlineStr">
        <is>
          <t>UPPER SECOND  (2:1)</t>
        </is>
      </c>
      <c r="F9" s="40" t="inlineStr">
        <is>
          <t>8 hours</t>
        </is>
      </c>
      <c r="G9" s="40" t="inlineStr">
        <is>
          <t>Not Started</t>
        </is>
      </c>
    </row>
    <row r="10" ht="36" customHeight="1">
      <c r="A10" s="42" t="inlineStr">
        <is>
          <t>Milestone 6:
First Class Territory</t>
        </is>
      </c>
      <c r="B10" s="42" t="inlineStr">
        <is>
          <t>P8-3, P8-4, P3-3, P2-1, P2-2, P0-1, P7-2</t>
        </is>
      </c>
      <c r="C10" s="42" t="inlineStr">
        <is>
          <t>8</t>
        </is>
      </c>
      <c r="D10" s="43" t="inlineStr">
        <is>
          <t>87</t>
        </is>
      </c>
      <c r="E10" s="42" t="inlineStr">
        <is>
          <t>FIRST CLASS  ★</t>
        </is>
      </c>
      <c r="F10" s="42" t="inlineStr">
        <is>
          <t>10 hours</t>
        </is>
      </c>
      <c r="G10" s="42" t="inlineStr">
        <is>
          <t>Not Started</t>
        </is>
      </c>
    </row>
    <row r="11" ht="36" customHeight="1">
      <c r="A11" s="42" t="inlineStr">
        <is>
          <t>Full Completion</t>
        </is>
      </c>
      <c r="B11" s="42" t="inlineStr">
        <is>
          <t>All remaining tasks</t>
        </is>
      </c>
      <c r="C11" s="42" t="inlineStr">
        <is>
          <t>5</t>
        </is>
      </c>
      <c r="D11" s="43" t="inlineStr">
        <is>
          <t>92</t>
        </is>
      </c>
      <c r="E11" s="42" t="inlineStr">
        <is>
          <t>FIRST CLASS  (High)  ★★</t>
        </is>
      </c>
      <c r="F11" s="42" t="inlineStr">
        <is>
          <t>6 hours</t>
        </is>
      </c>
      <c r="G11" s="42" t="inlineStr">
        <is>
          <t>Not Started</t>
        </is>
      </c>
    </row>
    <row r="14" ht="22" customHeight="1">
      <c r="A14" s="44" t="inlineStr">
        <is>
          <t>CRITICAL PATH  —  Minimum 16 Tasks Required to Reach 80 Marks</t>
        </is>
      </c>
    </row>
    <row r="15" ht="18" customHeight="1">
      <c r="A15" s="21" t="inlineStr">
        <is>
          <t>Task ID</t>
        </is>
      </c>
      <c r="B15" s="21" t="inlineStr">
        <is>
          <t>Description</t>
        </is>
      </c>
      <c r="C15" s="21" t="inlineStr">
        <is>
          <t>Marks at Stake</t>
        </is>
      </c>
      <c r="D15" s="21" t="inlineStr">
        <is>
          <t>Phase</t>
        </is>
      </c>
      <c r="E15" s="21" t="inlineStr">
        <is>
          <t>Why It Matters</t>
        </is>
      </c>
    </row>
    <row r="16" ht="16" customHeight="1">
      <c r="A16" s="45" t="inlineStr">
        <is>
          <t>P1-1</t>
        </is>
      </c>
      <c r="B16" s="45" t="inlineStr">
        <is>
          <t>Fix search_day bug (.day → .weekday())</t>
        </is>
      </c>
      <c r="C16" s="46" t="n">
        <v>2</v>
      </c>
      <c r="D16" s="45" t="inlineStr">
        <is>
          <t>Phase 1</t>
        </is>
      </c>
      <c r="E16" s="45" t="inlineStr">
        <is>
          <t>Every prediction is wrong for search_day feature — 1 line fix</t>
        </is>
      </c>
    </row>
    <row r="17" ht="16" customHeight="1">
      <c r="A17" s="27" t="inlineStr">
        <is>
          <t>P1-4</t>
        </is>
      </c>
      <c r="B17" s="27" t="inlineStr">
        <is>
          <t>Fix meta engine options (add Direct, TripAdvisor)</t>
        </is>
      </c>
      <c r="C17" s="47" t="n">
        <v>1</v>
      </c>
      <c r="D17" s="27" t="inlineStr">
        <is>
          <t>Phase 1</t>
        </is>
      </c>
      <c r="E17" s="27" t="inlineStr">
        <is>
          <t>Training classes not selectable at inference — creates prediction gap</t>
        </is>
      </c>
    </row>
    <row r="18" ht="16" customHeight="1">
      <c r="A18" s="45" t="inlineStr">
        <is>
          <t>P0-4</t>
        </is>
      </c>
      <c r="B18" s="45" t="inlineStr">
        <is>
          <t>Create constants.py shared module</t>
        </is>
      </c>
      <c r="C18" s="46" t="n">
        <v>1</v>
      </c>
      <c r="D18" s="45" t="inlineStr">
        <is>
          <t>Phase 0</t>
        </is>
      </c>
      <c r="E18" s="45" t="inlineStr">
        <is>
          <t>Fixes TripAdvisor inconsistency across 3 files</t>
        </is>
      </c>
    </row>
    <row r="19" ht="16" customHeight="1">
      <c r="A19" s="27" t="inlineStr">
        <is>
          <t>P3-1</t>
        </is>
      </c>
      <c r="B19" s="27" t="inlineStr">
        <is>
          <t>Create held-out temporal test set</t>
        </is>
      </c>
      <c r="C19" s="47" t="n">
        <v>5</v>
      </c>
      <c r="D19" s="27" t="inlineStr">
        <is>
          <t>Phase 3</t>
        </is>
      </c>
      <c r="E19" s="27" t="inlineStr">
        <is>
          <t>Without this, ALL evaluation metrics are invalid — prerequisite for paper</t>
        </is>
      </c>
    </row>
    <row r="20" ht="16" customHeight="1">
      <c r="A20" s="45" t="inlineStr">
        <is>
          <t>P3-2</t>
        </is>
      </c>
      <c r="B20" s="45" t="inlineStr">
        <is>
          <t>Fix model selection criterion (log_loss not accuracy)</t>
        </is>
      </c>
      <c r="C20" s="46" t="n">
        <v>3</v>
      </c>
      <c r="D20" s="45" t="inlineStr">
        <is>
          <t>Phase 3</t>
        </is>
      </c>
      <c r="E20" s="45" t="inlineStr">
        <is>
          <t>Currently saves wrong 'best' model — accuracy is misleading on imbalanced data</t>
        </is>
      </c>
    </row>
    <row r="21" ht="16" customHeight="1">
      <c r="A21" s="27" t="inlineStr">
        <is>
          <t>P3-6</t>
        </is>
      </c>
      <c r="B21" s="27" t="inlineStr">
        <is>
          <t>Multi-model comparison (LR/RF/LightGBM/CatBoost)</t>
        </is>
      </c>
      <c r="C21" s="47" t="n">
        <v>6</v>
      </c>
      <c r="D21" s="27" t="inlineStr">
        <is>
          <t>Phase 3</t>
        </is>
      </c>
      <c r="E21" s="27" t="inlineStr">
        <is>
          <t>Cannot claim CatBoost is best without comparison — required by examiner</t>
        </is>
      </c>
    </row>
    <row r="22" ht="16" customHeight="1">
      <c r="A22" s="45" t="inlineStr">
        <is>
          <t>P4-1</t>
        </is>
      </c>
      <c r="B22" s="45" t="inlineStr">
        <is>
          <t>Create calibration split</t>
        </is>
      </c>
      <c r="C22" s="46" t="n">
        <v>2</v>
      </c>
      <c r="D22" s="45" t="inlineStr">
        <is>
          <t>Phase 4</t>
        </is>
      </c>
      <c r="E22" s="45" t="inlineStr">
        <is>
          <t>Prerequisite for all calibration work</t>
        </is>
      </c>
    </row>
    <row r="23" ht="16" customHeight="1">
      <c r="A23" s="27" t="inlineStr">
        <is>
          <t>P4-2</t>
        </is>
      </c>
      <c r="B23" s="27" t="inlineStr">
        <is>
          <t>Implement Temperature Scaling</t>
        </is>
      </c>
      <c r="C23" s="47" t="n">
        <v>5</v>
      </c>
      <c r="D23" s="27" t="inlineStr">
        <is>
          <t>Phase 4</t>
        </is>
      </c>
      <c r="E23" s="27" t="inlineStr">
        <is>
          <t>THE core research contribution — title says Calibrated — must exist</t>
        </is>
      </c>
    </row>
    <row r="24" ht="16" customHeight="1">
      <c r="A24" s="45" t="inlineStr">
        <is>
          <t>P4-5</t>
        </is>
      </c>
      <c r="B24" s="45" t="inlineStr">
        <is>
          <t>Compute ECE per class</t>
        </is>
      </c>
      <c r="C24" s="46" t="n">
        <v>3</v>
      </c>
      <c r="D24" s="45" t="inlineStr">
        <is>
          <t>Phase 4</t>
        </is>
      </c>
      <c r="E24" s="45" t="inlineStr">
        <is>
          <t>Primary calibration metric — must appear in results tables</t>
        </is>
      </c>
    </row>
    <row r="25" ht="16" customHeight="1">
      <c r="A25" s="27" t="inlineStr">
        <is>
          <t>P4-6</t>
        </is>
      </c>
      <c r="B25" s="27" t="inlineStr">
        <is>
          <t>Generate reliability diagrams</t>
        </is>
      </c>
      <c r="C25" s="47" t="n">
        <v>3</v>
      </c>
      <c r="D25" s="27" t="inlineStr">
        <is>
          <t>Phase 4</t>
        </is>
      </c>
      <c r="E25" s="27" t="inlineStr">
        <is>
          <t>Primary calibration figure for paper</t>
        </is>
      </c>
    </row>
    <row r="26" ht="16" customHeight="1">
      <c r="A26" s="45" t="inlineStr">
        <is>
          <t>P4-7</t>
        </is>
      </c>
      <c r="B26" s="45" t="inlineStr">
        <is>
          <t>Calibration method comparison table</t>
        </is>
      </c>
      <c r="C26" s="46" t="n">
        <v>3</v>
      </c>
      <c r="D26" s="45" t="inlineStr">
        <is>
          <t>Phase 4</t>
        </is>
      </c>
      <c r="E26" s="45" t="inlineStr">
        <is>
          <t>Justifies choice of Temperature Scaling over Platt/Isotonic</t>
        </is>
      </c>
    </row>
    <row r="27" ht="16" customHeight="1">
      <c r="A27" s="27" t="inlineStr">
        <is>
          <t>P4-9</t>
        </is>
      </c>
      <c r="B27" s="27" t="inlineStr">
        <is>
          <t>Apply calibration in app.py</t>
        </is>
      </c>
      <c r="C27" s="47" t="n">
        <v>3</v>
      </c>
      <c r="D27" s="27" t="inlineStr">
        <is>
          <t>Phase 6</t>
        </is>
      </c>
      <c r="E27" s="27" t="inlineStr">
        <is>
          <t>App currently shows uncalibrated probs — contradicts research title</t>
        </is>
      </c>
    </row>
    <row r="28" ht="16" customHeight="1">
      <c r="A28" s="45" t="inlineStr">
        <is>
          <t>P5-1</t>
        </is>
      </c>
      <c r="B28" s="45" t="inlineStr">
        <is>
          <t>Rewrite evaluate_model.py — use test set</t>
        </is>
      </c>
      <c r="C28" s="46" t="n">
        <v>5</v>
      </c>
      <c r="D28" s="45" t="inlineStr">
        <is>
          <t>Phase 5</t>
        </is>
      </c>
      <c r="E28" s="45" t="inlineStr">
        <is>
          <t>All current metrics are in-sample — invalid for a research paper</t>
        </is>
      </c>
    </row>
    <row r="29" ht="16" customHeight="1">
      <c r="A29" s="27" t="inlineStr">
        <is>
          <t>P5-5</t>
        </is>
      </c>
      <c r="B29" s="27" t="inlineStr">
        <is>
          <t>SHAP feature importance analysis</t>
        </is>
      </c>
      <c r="C29" s="47" t="n">
        <v>4</v>
      </c>
      <c r="D29" s="27" t="inlineStr">
        <is>
          <t>Phase 5</t>
        </is>
      </c>
      <c r="E29" s="27" t="inlineStr">
        <is>
          <t>Required for interpretability claim — examiner expects this</t>
        </is>
      </c>
    </row>
    <row r="30" ht="16" customHeight="1">
      <c r="A30" s="45" t="inlineStr">
        <is>
          <t>P8-1</t>
        </is>
      </c>
      <c r="B30" s="45" t="inlineStr">
        <is>
          <t>Algorithm comparison experiment</t>
        </is>
      </c>
      <c r="C30" s="46" t="n">
        <v>3</v>
      </c>
      <c r="D30" s="45" t="inlineStr">
        <is>
          <t>Phase 8</t>
        </is>
      </c>
      <c r="E30" s="45" t="inlineStr">
        <is>
          <t>Documents why CatBoost was chosen — justification for design decision</t>
        </is>
      </c>
    </row>
    <row r="31" ht="16" customHeight="1">
      <c r="A31" s="27" t="inlineStr">
        <is>
          <t>P8-2</t>
        </is>
      </c>
      <c r="B31" s="27" t="inlineStr">
        <is>
          <t>Calibration method comparison experiment</t>
        </is>
      </c>
      <c r="C31" s="47" t="n">
        <v>3</v>
      </c>
      <c r="D31" s="27" t="inlineStr">
        <is>
          <t>Phase 8</t>
        </is>
      </c>
      <c r="E31" s="27" t="inlineStr">
        <is>
          <t>Documents why Temperature Scaling was chosen — core research experiment</t>
        </is>
      </c>
    </row>
  </sheetData>
  <mergeCells count="2">
    <mergeCell ref="A14:G14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50" customWidth="1" min="4" max="4"/>
    <col width="10" customWidth="1" min="5" max="5"/>
    <col width="13" customWidth="1" min="6" max="6"/>
    <col width="10" customWidth="1" min="7" max="7"/>
    <col width="14" customWidth="1" min="8" max="8"/>
  </cols>
  <sheetData>
    <row r="1" ht="28" customHeight="1">
      <c r="A1" s="32" t="inlineStr">
        <is>
          <t>SPRINT PLANNER  —  6-Week Execution Plan to 80+ Marks</t>
        </is>
      </c>
    </row>
    <row r="2" ht="8" customHeight="1"/>
    <row r="3" ht="30" customHeight="1">
      <c r="A3" s="33" t="inlineStr">
        <is>
          <t>Week</t>
        </is>
      </c>
      <c r="B3" s="33" t="inlineStr">
        <is>
          <t>Sprint Goal</t>
        </is>
      </c>
      <c r="C3" s="33" t="inlineStr">
        <is>
          <t>Task IDs</t>
        </is>
      </c>
      <c r="D3" s="33" t="inlineStr">
        <is>
          <t>Key Deliverables</t>
        </is>
      </c>
      <c r="E3" s="33" t="inlineStr">
        <is>
          <t>Marks
Gained</t>
        </is>
      </c>
      <c r="F3" s="33" t="inlineStr">
        <is>
          <t>Cumulative
Mark</t>
        </is>
      </c>
      <c r="G3" s="33" t="inlineStr">
        <is>
          <t>Effort
(Hours)</t>
        </is>
      </c>
      <c r="H3" s="33" t="inlineStr">
        <is>
          <t>Status</t>
        </is>
      </c>
    </row>
    <row r="4" ht="70" customHeight="1">
      <c r="A4" s="41" t="inlineStr">
        <is>
          <t>Week 1</t>
        </is>
      </c>
      <c r="B4" s="48" t="inlineStr">
        <is>
          <t>Foundation Fixes
&amp; Code Cleanup</t>
        </is>
      </c>
      <c r="C4" s="48" t="inlineStr">
        <is>
          <t>P1-1, P1-4, P0-4,
P3-2, P1-2, P1-3,
P2-3, P2-4</t>
        </is>
      </c>
      <c r="D4" s="48" t="inlineStr">
        <is>
          <t>• Fix search_day bug (1 line)
• Fix meta engine options
• Create constants.py
• Fix model selection to log_loss
• Remove dead code</t>
        </is>
      </c>
      <c r="E4" s="49" t="inlineStr">
        <is>
          <t>+8</t>
        </is>
      </c>
      <c r="F4" s="41" t="inlineStr">
        <is>
          <t>34</t>
        </is>
      </c>
      <c r="G4" s="48" t="inlineStr">
        <is>
          <t>~6 hrs</t>
        </is>
      </c>
      <c r="H4" s="48" t="inlineStr">
        <is>
          <t>Not Started</t>
        </is>
      </c>
    </row>
    <row r="5" ht="70" customHeight="1">
      <c r="A5" s="50" t="inlineStr">
        <is>
          <t>Week 2</t>
        </is>
      </c>
      <c r="B5" s="51" t="inlineStr">
        <is>
          <t>Valid Evaluation
Foundation</t>
        </is>
      </c>
      <c r="C5" s="51" t="inlineStr">
        <is>
          <t>P3-1, P3-6, P5-1, P8-1</t>
        </is>
      </c>
      <c r="D5" s="51" t="inlineStr">
        <is>
          <t>• split.py: temporal train/cal/test split
• model_comparison.py: LR/RF/LightGBM/CatBoost table
• Rewrite evaluate_model.py to use test set</t>
        </is>
      </c>
      <c r="E5" s="52" t="inlineStr">
        <is>
          <t>+14</t>
        </is>
      </c>
      <c r="F5" s="50" t="inlineStr">
        <is>
          <t>48</t>
        </is>
      </c>
      <c r="G5" s="51" t="inlineStr">
        <is>
          <t>~12 hrs</t>
        </is>
      </c>
      <c r="H5" s="51" t="inlineStr">
        <is>
          <t>Not Started</t>
        </is>
      </c>
    </row>
    <row r="6" ht="70" customHeight="1">
      <c r="A6" s="53" t="inlineStr">
        <is>
          <t>Week 3</t>
        </is>
      </c>
      <c r="B6" s="54" t="inlineStr">
        <is>
          <t>Full Calibration
Pipeline</t>
        </is>
      </c>
      <c r="C6" s="54" t="inlineStr">
        <is>
          <t>P4-1, P4-2, P4-3,
P4-4, P4-5, P4-6,
P4-7, P4-8, P4-9</t>
        </is>
      </c>
      <c r="D6" s="54" t="inlineStr">
        <is>
          <t>• calibrate.py: Temperature + Platt + Isotonic
• Reliability diagrams (pre/post) saved as PNG
• ECE per class computed
• Calibration comparison table
• App shows calibrated probabilities</t>
        </is>
      </c>
      <c r="E6" s="55" t="inlineStr">
        <is>
          <t>+22</t>
        </is>
      </c>
      <c r="F6" s="53" t="inlineStr">
        <is>
          <t>70</t>
        </is>
      </c>
      <c r="G6" s="54" t="inlineStr">
        <is>
          <t>~16 hrs</t>
        </is>
      </c>
      <c r="H6" s="54" t="inlineStr">
        <is>
          <t>Not Started</t>
        </is>
      </c>
    </row>
    <row r="7" ht="70" customHeight="1">
      <c r="A7" s="56" t="inlineStr">
        <is>
          <t>Week 4</t>
        </is>
      </c>
      <c r="B7" s="57" t="inlineStr">
        <is>
          <t>Deep Evaluation
&amp; Experiments</t>
        </is>
      </c>
      <c r="C7" s="57" t="inlineStr">
        <is>
          <t>P5-2, P5-3, P5-4,
P5-5, P5-6, P8-2,
P3-4, P3-5</t>
        </is>
      </c>
      <c r="D7" s="57" t="inlineStr">
        <is>
          <t>• AUC-ROC &amp; PR curves per class
• SHAP summary plots per class
• Brier score computed
• Results exported to CSV
• Calibration method comparison experiment</t>
        </is>
      </c>
      <c r="E7" s="58" t="inlineStr">
        <is>
          <t>+12</t>
        </is>
      </c>
      <c r="F7" s="56" t="inlineStr">
        <is>
          <t>82</t>
        </is>
      </c>
      <c r="G7" s="57" t="inlineStr">
        <is>
          <t>~14 hrs</t>
        </is>
      </c>
      <c r="H7" s="57" t="inlineStr">
        <is>
          <t>Not Started</t>
        </is>
      </c>
    </row>
    <row r="8" ht="70" customHeight="1">
      <c r="A8" s="59" t="inlineStr">
        <is>
          <t>Week 5</t>
        </is>
      </c>
      <c r="B8" s="60" t="inlineStr">
        <is>
          <t>Feature Experiments
&amp; App Enhancement</t>
        </is>
      </c>
      <c r="C8" s="60" t="inlineStr">
        <is>
          <t>P8-3, P8-4, P2-1,
P2-2, P0-1, P6-4, P6-5</t>
        </is>
      </c>
      <c r="D8" s="60" t="inlineStr">
        <is>
          <t>• Imbalance strategy experiment
• Feature ablation experiment
• route_cabin + engine_window features added
• SHAP waterfall in Streamlit app
• Formal hypotheses written</t>
        </is>
      </c>
      <c r="E8" s="61" t="inlineStr">
        <is>
          <t>+8</t>
        </is>
      </c>
      <c r="F8" s="59" t="inlineStr">
        <is>
          <t>90</t>
        </is>
      </c>
      <c r="G8" s="60" t="inlineStr">
        <is>
          <t>~10 hrs</t>
        </is>
      </c>
      <c r="H8" s="60" t="inlineStr">
        <is>
          <t>Not Started</t>
        </is>
      </c>
    </row>
    <row r="9" ht="70" customHeight="1">
      <c r="A9" s="62" t="inlineStr">
        <is>
          <t>Week 6</t>
        </is>
      </c>
      <c r="B9" s="63" t="inlineStr">
        <is>
          <t>Documentation
&amp; Polish</t>
        </is>
      </c>
      <c r="C9" s="63" t="inlineStr">
        <is>
          <t>P7-1, P7-2, P7-3,
P0-2, P0-3, P6-1,
P6-2, P6-6, P8-5</t>
        </is>
      </c>
      <c r="D9" s="63" t="inlineStr">
        <is>
          <t>• logging module replacing all print()
• Model card written
• Success criteria documented
• App UI polished with labels &amp; validation
• Calibration disclaimer added</t>
        </is>
      </c>
      <c r="E9" s="64" t="inlineStr">
        <is>
          <t>+4</t>
        </is>
      </c>
      <c r="F9" s="62" t="inlineStr">
        <is>
          <t>94</t>
        </is>
      </c>
      <c r="G9" s="63" t="inlineStr">
        <is>
          <t>~6 hrs</t>
        </is>
      </c>
      <c r="H9" s="63" t="inlineStr">
        <is>
          <t>Not Started</t>
        </is>
      </c>
    </row>
    <row r="11" ht="20" customHeight="1">
      <c r="A11" s="20" t="inlineStr">
        <is>
          <t>MARK TRAJECTORY</t>
        </is>
      </c>
    </row>
    <row r="12" ht="18" customHeight="1">
      <c r="A12" s="65" t="inlineStr">
        <is>
          <t>Start</t>
        </is>
      </c>
      <c r="B12" s="65" t="inlineStr">
        <is>
          <t>W1 End</t>
        </is>
      </c>
      <c r="C12" s="65" t="inlineStr">
        <is>
          <t>W2 End</t>
        </is>
      </c>
      <c r="D12" s="65" t="inlineStr">
        <is>
          <t>W3 End</t>
        </is>
      </c>
      <c r="E12" s="65" t="inlineStr">
        <is>
          <t>W4 End</t>
        </is>
      </c>
      <c r="F12" s="65" t="inlineStr">
        <is>
          <t>W5 End</t>
        </is>
      </c>
      <c r="G12" s="65" t="inlineStr">
        <is>
          <t>W6 End</t>
        </is>
      </c>
    </row>
    <row r="13" ht="32" customHeight="1">
      <c r="A13" s="66" t="n">
        <v>26</v>
      </c>
      <c r="B13" s="66" t="n">
        <v>34</v>
      </c>
      <c r="C13" s="67" t="n">
        <v>48</v>
      </c>
      <c r="D13" s="68" t="n">
        <v>70</v>
      </c>
      <c r="E13" s="69" t="n">
        <v>82</v>
      </c>
      <c r="F13" s="69" t="n">
        <v>90</v>
      </c>
      <c r="G13" s="69" t="n">
        <v>94</v>
      </c>
    </row>
  </sheetData>
  <mergeCells count="2">
    <mergeCell ref="A1:H2"/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8" customWidth="1" min="4" max="4"/>
    <col width="45" customWidth="1" min="5" max="5"/>
    <col width="45" customWidth="1" min="6" max="6"/>
    <col width="35" customWidth="1" min="7" max="7"/>
    <col width="16" customWidth="1" min="8" max="8"/>
    <col width="12" customWidth="1" min="9" max="9"/>
    <col width="10" customWidth="1" min="10" max="10"/>
  </cols>
  <sheetData>
    <row r="1" ht="28" customHeight="1">
      <c r="A1" s="32" t="inlineStr">
        <is>
          <t>BUGS REGISTRY  —  All Known Issues &amp; Required Fixes</t>
        </is>
      </c>
    </row>
    <row r="2" ht="8" customHeight="1"/>
    <row r="3" ht="28" customHeight="1">
      <c r="A3" s="33" t="inlineStr">
        <is>
          <t>Bug ID</t>
        </is>
      </c>
      <c r="B3" s="33" t="inlineStr">
        <is>
          <t>Severity</t>
        </is>
      </c>
      <c r="C3" s="33" t="inlineStr">
        <is>
          <t>File</t>
        </is>
      </c>
      <c r="D3" s="33" t="inlineStr">
        <is>
          <t>Line(s)</t>
        </is>
      </c>
      <c r="E3" s="33" t="inlineStr">
        <is>
          <t>Bug Description</t>
        </is>
      </c>
      <c r="F3" s="33" t="inlineStr">
        <is>
          <t>Impact on Results</t>
        </is>
      </c>
      <c r="G3" s="33" t="inlineStr">
        <is>
          <t>Fix Required</t>
        </is>
      </c>
      <c r="H3" s="33" t="inlineStr">
        <is>
          <t>Fix Complexity</t>
        </is>
      </c>
      <c r="I3" s="33" t="inlineStr">
        <is>
          <t>Status</t>
        </is>
      </c>
      <c r="J3" s="33" t="inlineStr">
        <is>
          <t>Marks
Risk</t>
        </is>
      </c>
    </row>
    <row r="4" ht="44" customHeight="1">
      <c r="A4" s="45" t="inlineStr">
        <is>
          <t>BUG-001</t>
        </is>
      </c>
      <c r="B4" s="23" t="inlineStr">
        <is>
          <t>CRITICAL</t>
        </is>
      </c>
      <c r="C4" s="45" t="inlineStr">
        <is>
          <t>app.py</t>
        </is>
      </c>
      <c r="D4" s="45" t="inlineStr">
        <is>
          <t>105</t>
        </is>
      </c>
      <c r="E4" s="45" t="inlineStr">
        <is>
          <t>search_date.day returns calendar day 1–31. Model trained on dayofweek 0–6.</t>
        </is>
      </c>
      <c r="F4" s="45" t="inlineStr">
        <is>
          <t>EVERY prediction uses wrong search_day value — training-serving skew on every single inference call</t>
        </is>
      </c>
      <c r="G4" s="45" t="inlineStr">
        <is>
          <t>Change .day to .weekday()</t>
        </is>
      </c>
      <c r="H4" s="45" t="inlineStr">
        <is>
          <t>1 line</t>
        </is>
      </c>
      <c r="I4" s="28" t="inlineStr">
        <is>
          <t>Not Fixed</t>
        </is>
      </c>
      <c r="J4" s="46" t="n">
        <v>2</v>
      </c>
    </row>
    <row r="5" ht="44" customHeight="1">
      <c r="A5" s="27" t="inlineStr">
        <is>
          <t>BUG-002</t>
        </is>
      </c>
      <c r="B5" s="23" t="inlineStr">
        <is>
          <t>CRITICAL</t>
        </is>
      </c>
      <c r="C5" s="27" t="inlineStr">
        <is>
          <t>evaluate_model.py</t>
        </is>
      </c>
      <c r="D5" s="27" t="inlineStr">
        <is>
          <t>10, 54</t>
        </is>
      </c>
      <c r="E5" s="27" t="inlineStr">
        <is>
          <t>Model evaluated on the full training dataset including rows it was trained on</t>
        </is>
      </c>
      <c r="F5" s="27" t="inlineStr">
        <is>
          <t>ALL reported metrics are in-sample. Inflated by 10–20 percentage points. Not publishable.</t>
        </is>
      </c>
      <c r="G5" s="27" t="inlineStr">
        <is>
          <t>Create and load held-out test set (X_test.pkl)</t>
        </is>
      </c>
      <c r="H5" s="27" t="inlineStr">
        <is>
          <t>40 lines</t>
        </is>
      </c>
      <c r="I5" s="28" t="inlineStr">
        <is>
          <t>Not Fixed</t>
        </is>
      </c>
      <c r="J5" s="47" t="n">
        <v>10</v>
      </c>
    </row>
    <row r="6" ht="44" customHeight="1">
      <c r="A6" s="45" t="inlineStr">
        <is>
          <t>BUG-003</t>
        </is>
      </c>
      <c r="B6" s="23" t="inlineStr">
        <is>
          <t>CRITICAL</t>
        </is>
      </c>
      <c r="C6" s="45" t="inlineStr">
        <is>
          <t>All files</t>
        </is>
      </c>
      <c r="D6" s="45" t="inlineStr">
        <is>
          <t>N/A</t>
        </is>
      </c>
      <c r="E6" s="45" t="inlineStr">
        <is>
          <t>Zero calibration code exists anywhere despite 'Calibrated' in research title</t>
        </is>
      </c>
      <c r="F6" s="45" t="inlineStr">
        <is>
          <t>Displayed probabilities are raw overconfident GBDT outputs — research title claim is unsubstantiated</t>
        </is>
      </c>
      <c r="G6" s="45" t="inlineStr">
        <is>
          <t>Implement Temperature Scaling in calibrate.py + apply in app.py</t>
        </is>
      </c>
      <c r="H6" s="45" t="inlineStr">
        <is>
          <t>60 lines</t>
        </is>
      </c>
      <c r="I6" s="28" t="inlineStr">
        <is>
          <t>Not Fixed</t>
        </is>
      </c>
      <c r="J6" s="46" t="n">
        <v>22</v>
      </c>
    </row>
    <row r="7" ht="44" customHeight="1">
      <c r="A7" s="27" t="inlineStr">
        <is>
          <t>BUG-004</t>
        </is>
      </c>
      <c r="B7" s="23" t="inlineStr">
        <is>
          <t>CRITICAL</t>
        </is>
      </c>
      <c r="C7" s="27" t="inlineStr">
        <is>
          <t>train_production.py</t>
        </is>
      </c>
      <c r="D7" s="27" t="inlineStr">
        <is>
          <t>113</t>
        </is>
      </c>
      <c r="E7" s="27" t="inlineStr">
        <is>
          <t>model.score() (accuracy) used to select the 'best model' fold</t>
        </is>
      </c>
      <c r="F7" s="27" t="inlineStr">
        <is>
          <t>Best model is the one on the easiest fold by accuracy, not the best probabilistic predictor. PM class ignored.</t>
        </is>
      </c>
      <c r="G7" s="27" t="inlineStr">
        <is>
          <t>Change to log_loss-based selection</t>
        </is>
      </c>
      <c r="H7" s="27" t="inlineStr">
        <is>
          <t>5 lines</t>
        </is>
      </c>
      <c r="I7" s="28" t="inlineStr">
        <is>
          <t>Not Fixed</t>
        </is>
      </c>
      <c r="J7" s="47" t="n">
        <v>3</v>
      </c>
    </row>
    <row r="8" ht="44" customHeight="1">
      <c r="A8" s="45" t="inlineStr">
        <is>
          <t>BUG-005</t>
        </is>
      </c>
      <c r="B8" s="24" t="inlineStr">
        <is>
          <t>MAJOR</t>
        </is>
      </c>
      <c r="C8" s="45" t="inlineStr">
        <is>
          <t>app.py</t>
        </is>
      </c>
      <c r="D8" s="45" t="inlineStr">
        <is>
          <t>44</t>
        </is>
      </c>
      <c r="E8" s="45" t="inlineStr">
        <is>
          <t>TripAdvisor and Direct missing from meta_engine_options dropdown</t>
        </is>
      </c>
      <c r="F8" s="45" t="inlineStr">
        <is>
          <t>Users cannot represent these channels. Model receives out-of-distribution input silently.</t>
        </is>
      </c>
      <c r="G8" s="45" t="inlineStr">
        <is>
          <t>Add 'TripAdvisor' and 'Direct' to list</t>
        </is>
      </c>
      <c r="H8" s="45" t="inlineStr">
        <is>
          <t>2 lines</t>
        </is>
      </c>
      <c r="I8" s="28" t="inlineStr">
        <is>
          <t>Not Fixed</t>
        </is>
      </c>
      <c r="J8" s="46" t="n">
        <v>1</v>
      </c>
    </row>
    <row r="9" ht="44" customHeight="1">
      <c r="A9" s="27" t="inlineStr">
        <is>
          <t>BUG-006</t>
        </is>
      </c>
      <c r="B9" s="24" t="inlineStr">
        <is>
          <t>MAJOR</t>
        </is>
      </c>
      <c r="C9" s="27" t="inlineStr">
        <is>
          <t>train_production.py</t>
        </is>
      </c>
      <c r="D9" s="27" t="inlineStr">
        <is>
          <t>12</t>
        </is>
      </c>
      <c r="E9" s="27" t="inlineStr">
        <is>
          <t>CONFUSION_MATRIX_FILE variable declared but confusion_matrix.png never generated</t>
        </is>
      </c>
      <c r="F9" s="27" t="inlineStr">
        <is>
          <t>Promised evaluation artifact missing. Examiner expects this figure.</t>
        </is>
      </c>
      <c r="G9" s="27" t="inlineStr">
        <is>
          <t>Add seaborn heatmap + plt.savefig() call</t>
        </is>
      </c>
      <c r="H9" s="27" t="inlineStr">
        <is>
          <t>15 lines</t>
        </is>
      </c>
      <c r="I9" s="28" t="inlineStr">
        <is>
          <t>Not Fixed</t>
        </is>
      </c>
      <c r="J9" s="47" t="n">
        <v>1</v>
      </c>
    </row>
    <row r="10" ht="44" customHeight="1">
      <c r="A10" s="45" t="inlineStr">
        <is>
          <t>BUG-007</t>
        </is>
      </c>
      <c r="B10" s="24" t="inlineStr">
        <is>
          <t>MAJOR</t>
        </is>
      </c>
      <c r="C10" s="45" t="inlineStr">
        <is>
          <t>train_production.py</t>
        </is>
      </c>
      <c r="D10" s="45" t="inlineStr">
        <is>
          <t>42–58</t>
        </is>
      </c>
      <c r="E10" s="45" t="inlineStr">
        <is>
          <t>target_encode() function defined but never called — 17 lines of dead code</t>
        </is>
      </c>
      <c r="F10" s="45" t="inlineStr">
        <is>
          <t>Misleads examiner into thinking target encoding is performed. Undermines credibility.</t>
        </is>
      </c>
      <c r="G10" s="45" t="inlineStr">
        <is>
          <t>Delete function entirely or add a call to it</t>
        </is>
      </c>
      <c r="H10" s="45" t="inlineStr">
        <is>
          <t>Delete 17 lines</t>
        </is>
      </c>
      <c r="I10" s="28" t="inlineStr">
        <is>
          <t>Not Fixed</t>
        </is>
      </c>
      <c r="J10" s="46" t="n">
        <v>1</v>
      </c>
    </row>
    <row r="11" ht="44" customHeight="1">
      <c r="A11" s="27" t="inlineStr">
        <is>
          <t>BUG-008</t>
        </is>
      </c>
      <c r="B11" s="24" t="inlineStr">
        <is>
          <t>MAJOR</t>
        </is>
      </c>
      <c r="C11" s="27" t="inlineStr">
        <is>
          <t>Multiple files</t>
        </is>
      </c>
      <c r="D11" s="27" t="inlineStr">
        <is>
          <t>Multiple</t>
        </is>
      </c>
      <c r="E11" s="27" t="inlineStr">
        <is>
          <t>outcome_map and feature_order duplicated identically across 3 files</t>
        </is>
      </c>
      <c r="F11" s="27" t="inlineStr">
        <is>
          <t>Any label change requires updating 3 files. One will be missed. Source of TripAdvisor gap.</t>
        </is>
      </c>
      <c r="G11" s="27" t="inlineStr">
        <is>
          <t>Create constants.py and import from all scripts</t>
        </is>
      </c>
      <c r="H11" s="27" t="inlineStr">
        <is>
          <t>25 lines</t>
        </is>
      </c>
      <c r="I11" s="28" t="inlineStr">
        <is>
          <t>Not Fixed</t>
        </is>
      </c>
      <c r="J11" s="47" t="n">
        <v>1</v>
      </c>
    </row>
    <row r="12" ht="44" customHeight="1">
      <c r="A12" s="45" t="inlineStr">
        <is>
          <t>BUG-009</t>
        </is>
      </c>
      <c r="B12" s="30" t="inlineStr">
        <is>
          <t>MODERATE</t>
        </is>
      </c>
      <c r="C12" s="45" t="inlineStr">
        <is>
          <t>Multiple files</t>
        </is>
      </c>
      <c r="D12" s="45" t="inlineStr">
        <is>
          <t>Multiple</t>
        </is>
      </c>
      <c r="E12" s="45" t="inlineStr">
        <is>
          <t>import joblib, log_loss, plt, sns, confusion_matrix imported but never used</t>
        </is>
      </c>
      <c r="F12" s="45" t="inlineStr">
        <is>
          <t>Dead imports. Reduces code quality. log_loss import suggests metrics were intended but skipped.</t>
        </is>
      </c>
      <c r="G12" s="45" t="inlineStr">
        <is>
          <t>Remove all unused imports</t>
        </is>
      </c>
      <c r="H12" s="45" t="inlineStr">
        <is>
          <t>3 lines</t>
        </is>
      </c>
      <c r="I12" s="28" t="inlineStr">
        <is>
          <t>Not Fixed</t>
        </is>
      </c>
      <c r="J12" s="46" t="n">
        <v>0</v>
      </c>
    </row>
    <row r="13" ht="44" customHeight="1">
      <c r="A13" s="27" t="inlineStr">
        <is>
          <t>BUG-010</t>
        </is>
      </c>
      <c r="B13" s="30" t="inlineStr">
        <is>
          <t>MODERATE</t>
        </is>
      </c>
      <c r="C13" s="27" t="inlineStr">
        <is>
          <t>process_full_data.py</t>
        </is>
      </c>
      <c r="D13" s="27" t="inlineStr">
        <is>
          <t>87</t>
        </is>
      </c>
      <c r="E13" s="27" t="inlineStr">
        <is>
          <t>Typo: "Propcessing" instead of "Processing" in print statement</t>
        </is>
      </c>
      <c r="F13" s="27" t="inlineStr">
        <is>
          <t>Professional presentation issue — visible in demo output</t>
        </is>
      </c>
      <c r="G13" s="27" t="inlineStr">
        <is>
          <t>Fix typo</t>
        </is>
      </c>
      <c r="H13" s="27" t="inlineStr">
        <is>
          <t>1 line</t>
        </is>
      </c>
      <c r="I13" s="28" t="inlineStr">
        <is>
          <t>Not Fixed</t>
        </is>
      </c>
      <c r="J13" s="47" t="n">
        <v>0</v>
      </c>
    </row>
    <row r="14" ht="24" customHeight="1">
      <c r="A14" s="70" t="inlineStr">
        <is>
          <t>TOTAL MARKS AT RISK FROM UNFIXED BUGS</t>
        </is>
      </c>
      <c r="J14" s="71">
        <f>SUM(J4:J13)</f>
        <v/>
      </c>
    </row>
  </sheetData>
  <mergeCells count="2">
    <mergeCell ref="A1:J2"/>
    <mergeCell ref="A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2026-03-29T10:56:59Z</dcterms:created>
  <dcterms:modified xsi:type="dcterms:W3CDTF">2026-03-29T10:56:59Z</dcterms:modified>
</cp:coreProperties>
</file>